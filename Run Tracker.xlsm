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workbookPr codeName="ThisWorkbook" defaultThemeVersion="124226"/>
  <mc:AlternateContent xmlns:mc="http://schemas.openxmlformats.org/markup-compatibility/2006">
    <mc:Choice Requires="x15">
      <x15ac:absPath xmlns:x15ac="http://schemas.microsoft.com/office/spreadsheetml/2010/11/ac" url="C:\Users\David\Downloads\"/>
    </mc:Choice>
  </mc:AlternateContent>
  <xr:revisionPtr revIDLastSave="0" documentId="13_ncr:1_{EF87F21F-295E-4CCD-B9F6-072733B9F16E}" xr6:coauthVersionLast="40" xr6:coauthVersionMax="40" xr10:uidLastSave="{00000000-0000-0000-0000-000000000000}"/>
  <bookViews>
    <workbookView xWindow="0" yWindow="105" windowWidth="9735" windowHeight="7980" tabRatio="618" xr2:uid="{00000000-000D-0000-FFFF-FFFF00000000}"/>
  </bookViews>
  <sheets>
    <sheet name="Training" sheetId="28" r:id="rId1"/>
    <sheet name="Facts" sheetId="14" r:id="rId2"/>
  </sheets>
  <externalReferences>
    <externalReference r:id="rId3"/>
  </externalReferences>
  <definedNames>
    <definedName name="anscount" hidden="1">2</definedName>
    <definedName name="HTML_CodePage" hidden="1">1252</definedName>
    <definedName name="HTML_Description" hidden="1">""</definedName>
    <definedName name="HTML_Email" hidden="1">""</definedName>
    <definedName name="HTML_Header" hidden="1">"Phones"</definedName>
    <definedName name="HTML_LastUpdate" hidden="1">"27/02/2004"</definedName>
    <definedName name="HTML_LineAfter" hidden="1">TRUE</definedName>
    <definedName name="HTML_LineBefore" hidden="1">TRUE</definedName>
    <definedName name="HTML_Name" hidden="1">"Parsons"</definedName>
    <definedName name="HTML_OBDlg2" hidden="1">TRUE</definedName>
    <definedName name="HTML_OBDlg4" hidden="1">TRUE</definedName>
    <definedName name="HTML_OS" hidden="1">0</definedName>
    <definedName name="HTML_PathFile" hidden="1">"C:\temp\MyHTML.htm"</definedName>
    <definedName name="HTML_Title" hidden="1">"Logging"</definedName>
    <definedName name="limcount" hidden="1">2</definedName>
    <definedName name="Recoded_RA">[1]GPPAQ!$K$24</definedName>
    <definedName name="Recreational_Activity">[1]GPPAQ!$I$24</definedName>
    <definedName name="sencount" hidden="1">2</definedName>
    <definedName name="Sport_Cycle">[1]GPPAQ!$M$24</definedName>
    <definedName name="Total">[1]GPPAQ!$L$24</definedName>
    <definedName name="Work_Activity">[1]GPPAQ!$J$12</definedName>
    <definedName name="wrn.CST._.Cases." hidden="1">{#N/A,#N/A,FALSE,"AHD";#N/A,#N/A,FALSE,"AHD"}</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45" i="28" l="1"/>
  <c r="F41" i="28"/>
  <c r="F42" i="28"/>
  <c r="F43" i="28"/>
  <c r="F44" i="28"/>
  <c r="F45" i="28"/>
  <c r="F25" i="28"/>
  <c r="F26" i="28"/>
  <c r="F27" i="28"/>
  <c r="F28" i="28"/>
  <c r="F29" i="28"/>
  <c r="F30" i="28"/>
  <c r="F31" i="28"/>
  <c r="F32" i="28"/>
  <c r="F33" i="28"/>
  <c r="F34" i="28"/>
  <c r="F35" i="28"/>
  <c r="F36" i="28"/>
  <c r="F37" i="28"/>
  <c r="F38" i="28"/>
  <c r="F39" i="28"/>
  <c r="F40" i="28"/>
  <c r="F24" i="28"/>
  <c r="C26" i="28" l="1"/>
  <c r="C27" i="28"/>
  <c r="C29" i="28"/>
  <c r="C30" i="28"/>
  <c r="C31" i="28"/>
  <c r="C34" i="28"/>
  <c r="C35" i="28"/>
  <c r="C39" i="28"/>
  <c r="C40" i="28"/>
  <c r="C41" i="28"/>
  <c r="C42" i="28"/>
  <c r="C24" i="28"/>
  <c r="C25" i="28" s="1"/>
  <c r="C28" i="28" l="1"/>
  <c r="C32" i="28" s="1"/>
  <c r="C33" i="28" s="1"/>
  <c r="C36" i="28" s="1"/>
  <c r="C37" i="28" s="1"/>
  <c r="C38" i="28" l="1"/>
  <c r="C43" i="28" l="1"/>
  <c r="C44" i="28" l="1"/>
  <c r="G45" i="28" l="1"/>
  <c r="I45" i="28" s="1"/>
  <c r="AK45" i="28" s="1"/>
  <c r="H45" i="28"/>
  <c r="AH45" i="28" l="1"/>
  <c r="AI45" i="28"/>
  <c r="AJ45" i="28" s="1"/>
  <c r="G44" i="28"/>
  <c r="I44" i="28" s="1"/>
  <c r="AK44" i="28" s="1"/>
  <c r="H44" i="28"/>
  <c r="AH44" i="28" l="1"/>
  <c r="AI44" i="28"/>
  <c r="AJ44" i="28" s="1"/>
  <c r="G43" i="28"/>
  <c r="I43" i="28" s="1"/>
  <c r="AK43" i="28" s="1"/>
  <c r="H43" i="28"/>
  <c r="AH43" i="28" l="1"/>
  <c r="AI43" i="28"/>
  <c r="AJ43" i="28" s="1"/>
  <c r="G42" i="28"/>
  <c r="I42" i="28" s="1"/>
  <c r="AI42" i="28" s="1"/>
  <c r="AJ42" i="28" s="1"/>
  <c r="H42" i="28"/>
  <c r="AH42" i="28" l="1"/>
  <c r="AK42" i="28"/>
  <c r="G41" i="28"/>
  <c r="I41" i="28" s="1"/>
  <c r="AK41" i="28" s="1"/>
  <c r="H41" i="28"/>
  <c r="AH41" i="28" l="1"/>
  <c r="AI41" i="28"/>
  <c r="AJ41" i="28" s="1"/>
  <c r="G40" i="28"/>
  <c r="I40" i="28" s="1"/>
  <c r="AI40" i="28" s="1"/>
  <c r="AJ40" i="28" s="1"/>
  <c r="H40" i="28"/>
  <c r="AK40" i="28" l="1"/>
  <c r="AH40" i="28"/>
  <c r="G39" i="28" l="1"/>
  <c r="I39" i="28" s="1"/>
  <c r="AK39" i="28" s="1"/>
  <c r="H39" i="28"/>
  <c r="AH39" i="28" l="1"/>
  <c r="AI39" i="28"/>
  <c r="AJ39" i="28" s="1"/>
  <c r="G38" i="28"/>
  <c r="I38" i="28" s="1"/>
  <c r="AK38" i="28" s="1"/>
  <c r="H38" i="28"/>
  <c r="AH38" i="28" l="1"/>
  <c r="AI38" i="28"/>
  <c r="AJ38" i="28" s="1"/>
  <c r="G37" i="28"/>
  <c r="I37" i="28" s="1"/>
  <c r="AK37" i="28" s="1"/>
  <c r="H37" i="28"/>
  <c r="AH37" i="28" l="1"/>
  <c r="AI37" i="28"/>
  <c r="AJ37" i="28" s="1"/>
  <c r="G32" i="28" l="1"/>
  <c r="I32" i="28" s="1"/>
  <c r="H32" i="28"/>
  <c r="AH32" i="28" l="1"/>
  <c r="AI32" i="28"/>
  <c r="AJ32" i="28" s="1"/>
  <c r="AK32" i="28"/>
  <c r="H36" i="28" l="1"/>
  <c r="G36" i="28"/>
  <c r="I36" i="28" s="1"/>
  <c r="H35" i="28"/>
  <c r="G35" i="28"/>
  <c r="I35" i="28" s="1"/>
  <c r="H34" i="28"/>
  <c r="G34" i="28"/>
  <c r="I34" i="28" s="1"/>
  <c r="H33" i="28"/>
  <c r="G33" i="28"/>
  <c r="I33" i="28" s="1"/>
  <c r="H31" i="28"/>
  <c r="G31" i="28"/>
  <c r="I31" i="28" s="1"/>
  <c r="H30" i="28"/>
  <c r="G30" i="28"/>
  <c r="I30" i="28" s="1"/>
  <c r="H29" i="28"/>
  <c r="G29" i="28"/>
  <c r="I29" i="28" s="1"/>
  <c r="H28" i="28"/>
  <c r="G28" i="28"/>
  <c r="I28" i="28" s="1"/>
  <c r="H27" i="28"/>
  <c r="G27" i="28"/>
  <c r="I27" i="28" s="1"/>
  <c r="H26" i="28"/>
  <c r="G26" i="28"/>
  <c r="H25" i="28"/>
  <c r="G25" i="28"/>
  <c r="I25" i="28" s="1"/>
  <c r="H24" i="28"/>
  <c r="G24" i="28"/>
  <c r="I24" i="28" l="1"/>
  <c r="AI24" i="28" s="1"/>
  <c r="AH30" i="28"/>
  <c r="AH27" i="28"/>
  <c r="AH31" i="28"/>
  <c r="AH29" i="28"/>
  <c r="AH28" i="28"/>
  <c r="I26" i="28"/>
  <c r="AI26" i="28" s="1"/>
  <c r="AJ26" i="28" s="1"/>
  <c r="AH26" i="28"/>
  <c r="AH25" i="28"/>
  <c r="AK28" i="28"/>
  <c r="AI28" i="28"/>
  <c r="AJ28" i="28" s="1"/>
  <c r="AK33" i="28"/>
  <c r="AI33" i="28"/>
  <c r="AJ33" i="28" s="1"/>
  <c r="AK25" i="28"/>
  <c r="AI25" i="28"/>
  <c r="AJ25" i="28" s="1"/>
  <c r="AK29" i="28"/>
  <c r="AI29" i="28"/>
  <c r="AJ29" i="28" s="1"/>
  <c r="AK35" i="28"/>
  <c r="AI35" i="28"/>
  <c r="AJ35" i="28" s="1"/>
  <c r="AK34" i="28"/>
  <c r="AI34" i="28"/>
  <c r="AJ34" i="28" s="1"/>
  <c r="AK30" i="28"/>
  <c r="AI30" i="28"/>
  <c r="AJ30" i="28" s="1"/>
  <c r="AK27" i="28"/>
  <c r="AI27" i="28"/>
  <c r="AJ27" i="28" s="1"/>
  <c r="AK31" i="28"/>
  <c r="AI31" i="28"/>
  <c r="AJ31" i="28" s="1"/>
  <c r="AK36" i="28"/>
  <c r="AI36" i="28"/>
  <c r="AJ36" i="28" s="1"/>
  <c r="AH24" i="28"/>
  <c r="AH33" i="28"/>
  <c r="AH34" i="28"/>
  <c r="AH35" i="28"/>
  <c r="AH36" i="28"/>
  <c r="AK24" i="28" l="1"/>
  <c r="AK26" i="28"/>
  <c r="AJ24" i="28"/>
  <c r="E11" i="14" l="1"/>
  <c r="C11" i="14"/>
  <c r="H11" i="14" l="1"/>
  <c r="B38" i="14" l="1"/>
  <c r="I25" i="14"/>
  <c r="C25" i="14" l="1"/>
  <c r="B25" i="14"/>
  <c r="A25" i="14"/>
  <c r="M10" i="14"/>
  <c r="M9" i="14"/>
  <c r="M8" i="14"/>
  <c r="M7" i="14"/>
  <c r="M6" i="14"/>
  <c r="M5" i="14"/>
  <c r="M4" i="14"/>
  <c r="H4" i="14"/>
  <c r="H3" i="14"/>
  <c r="F25" i="14" l="1"/>
  <c r="A38" i="14" s="1"/>
  <c r="D38" i="14" s="1"/>
</calcChain>
</file>

<file path=xl/sharedStrings.xml><?xml version="1.0" encoding="utf-8"?>
<sst xmlns="http://schemas.openxmlformats.org/spreadsheetml/2006/main" count="181" uniqueCount="150">
  <si>
    <t>Date</t>
  </si>
  <si>
    <t>BMI</t>
  </si>
  <si>
    <t>Risk of Associated Disease According to BMI and Waist Size</t>
  </si>
  <si>
    <t> </t>
  </si>
  <si>
    <t>Waist less than or equal to</t>
  </si>
  <si>
    <t>Waist greater than</t>
  </si>
  <si>
    <t>40 in. (men) or</t>
  </si>
  <si>
    <t>35 in. (women)</t>
  </si>
  <si>
    <t>18.5 or less</t>
  </si>
  <si>
    <t>Underweight</t>
  </si>
  <si>
    <t>--</t>
  </si>
  <si>
    <t>N/A</t>
  </si>
  <si>
    <t>18.5 - 24.9</t>
  </si>
  <si>
    <t>Normal</t>
  </si>
  <si>
    <t>25.0 - 29.9</t>
  </si>
  <si>
    <t>Overweight</t>
  </si>
  <si>
    <t>Increased</t>
  </si>
  <si>
    <t>High</t>
  </si>
  <si>
    <t>30.0 - 34.9</t>
  </si>
  <si>
    <t>Obese</t>
  </si>
  <si>
    <t>Very High</t>
  </si>
  <si>
    <t>35.0 - 39.9</t>
  </si>
  <si>
    <t>40 or greater</t>
  </si>
  <si>
    <t>Extremely Obese</t>
  </si>
  <si>
    <t>Extremely High</t>
  </si>
  <si>
    <t>cm</t>
  </si>
  <si>
    <t>in</t>
  </si>
  <si>
    <t>The following equations have been developed by the Department of Health (1991) to estimate energy requirements. First the Basal Metabolic Rate (BMR) is estimated, taking age, weight and gender into account. Then activity factors are applied to give an overall estimation of calorie intake. In order to achieve a steady weight loss dieticians have suggested a 500 calorie deficit is sufficient.</t>
  </si>
  <si>
    <t xml:space="preserve">Age Range </t>
  </si>
  <si>
    <t xml:space="preserve">Men </t>
  </si>
  <si>
    <t>Women</t>
  </si>
  <si>
    <t>(Years)</t>
  </si>
  <si>
    <t>BMR (calories/day)</t>
  </si>
  <si>
    <t>18-29</t>
  </si>
  <si>
    <t>15.1 x weight (Kg) + 692</t>
  </si>
  <si>
    <t>14.8 x weight (Kg) + 487</t>
  </si>
  <si>
    <t>30-59</t>
  </si>
  <si>
    <t>11.5 x weight (Kg) + 873</t>
  </si>
  <si>
    <t>8.3 x weight (Kg) + 846</t>
  </si>
  <si>
    <t>60-74</t>
  </si>
  <si>
    <t>11.9 x weight (Kg) + 700</t>
  </si>
  <si>
    <t>9.2 x weight (Kg) + 687</t>
  </si>
  <si>
    <t>75+</t>
  </si>
  <si>
    <t>8.4 x weight (Kg) + 821</t>
  </si>
  <si>
    <t>9.8 x weight (Kg) + 624</t>
  </si>
  <si>
    <t>Population Group</t>
  </si>
  <si>
    <t>Physical Activity Levels</t>
  </si>
  <si>
    <t>Inactive men and women</t>
  </si>
  <si>
    <t>Moderately active women</t>
  </si>
  <si>
    <t>Moderately active men</t>
  </si>
  <si>
    <t>Highly active women</t>
  </si>
  <si>
    <t>Highly active men</t>
  </si>
  <si>
    <t xml:space="preserve">Physical Activity Level’s for the UK population (Department of Health, 1991) </t>
  </si>
  <si>
    <t>BMR x Activity Level = Total Energy Requirement</t>
  </si>
  <si>
    <t xml:space="preserve">_______ X _______ =   ________ Calories </t>
  </si>
  <si>
    <t>Total energy requirement – 500 = Calorie level for steady weight loss</t>
  </si>
  <si>
    <t>Male</t>
  </si>
  <si>
    <t>Female</t>
  </si>
  <si>
    <t>enter weight in right cell</t>
  </si>
  <si>
    <t>_______ X  ____ Kg + ________ = _____(calories/day)</t>
  </si>
  <si>
    <t>Ideal waist &lt;37"/94 cm men, 32"/80cm women for reducing risk from abdominal obesity</t>
  </si>
  <si>
    <t>Comment</t>
  </si>
  <si>
    <t>Distance</t>
  </si>
  <si>
    <t>Run</t>
  </si>
  <si>
    <t xml:space="preserve">Cramp at </t>
  </si>
  <si>
    <t>Cramp</t>
  </si>
  <si>
    <t>warm up</t>
  </si>
  <si>
    <t>cool dn</t>
  </si>
  <si>
    <t>kph+</t>
  </si>
  <si>
    <t>walk 1</t>
  </si>
  <si>
    <t>walk 2</t>
  </si>
  <si>
    <t>walk 3</t>
  </si>
  <si>
    <t>walk 4</t>
  </si>
  <si>
    <t>walk 5</t>
  </si>
  <si>
    <t>walk 6</t>
  </si>
  <si>
    <t>walk 7</t>
  </si>
  <si>
    <t>run 1</t>
  </si>
  <si>
    <t>run 2</t>
  </si>
  <si>
    <t>run 3</t>
  </si>
  <si>
    <t>run 4</t>
  </si>
  <si>
    <t>run 5</t>
  </si>
  <si>
    <t>run 6</t>
  </si>
  <si>
    <t>run 7</t>
  </si>
  <si>
    <t>walk 8</t>
  </si>
  <si>
    <t>run 8</t>
  </si>
  <si>
    <t>walk 9</t>
  </si>
  <si>
    <t>run 9</t>
  </si>
  <si>
    <t>walk 10</t>
  </si>
  <si>
    <t>run/total ratio</t>
  </si>
  <si>
    <t>stanway</t>
  </si>
  <si>
    <t>Cropthorne</t>
  </si>
  <si>
    <t>5k at 11kph</t>
  </si>
  <si>
    <t>Column2</t>
  </si>
  <si>
    <t>kg/m^2</t>
  </si>
  <si>
    <t>5'6"</t>
  </si>
  <si>
    <t>=</t>
  </si>
  <si>
    <t>0 Easy/Hard 5</t>
  </si>
  <si>
    <t>mph</t>
  </si>
  <si>
    <t>min/mile</t>
  </si>
  <si>
    <t>min/Km</t>
  </si>
  <si>
    <t>total of time actually</t>
  </si>
  <si>
    <t xml:space="preserve">distance covered in </t>
  </si>
  <si>
    <t>DTime</t>
  </si>
  <si>
    <t>Running time+</t>
  </si>
  <si>
    <t>2/2/18</t>
  </si>
  <si>
    <t>6/2</t>
  </si>
  <si>
    <t>9/2</t>
  </si>
  <si>
    <t>13/2</t>
  </si>
  <si>
    <t>16/2</t>
  </si>
  <si>
    <t>20/2</t>
  </si>
  <si>
    <t>23/2</t>
  </si>
  <si>
    <t>30/2</t>
  </si>
  <si>
    <t>cold</t>
  </si>
  <si>
    <t>cold bit of snow</t>
  </si>
  <si>
    <t>2/3</t>
  </si>
  <si>
    <t>cold, windy, snow on ground</t>
  </si>
  <si>
    <t>6/3</t>
  </si>
  <si>
    <t>cool, dry</t>
  </si>
  <si>
    <t>9/3</t>
  </si>
  <si>
    <t>cold dry</t>
  </si>
  <si>
    <t>13/3</t>
  </si>
  <si>
    <t>mild dry</t>
  </si>
  <si>
    <t>16/3</t>
  </si>
  <si>
    <t>mild dry bit of wind</t>
  </si>
  <si>
    <t>20/3</t>
  </si>
  <si>
    <t>23/3</t>
  </si>
  <si>
    <t>mild dry headwind</t>
  </si>
  <si>
    <t>27/3</t>
  </si>
  <si>
    <t>stanway x 2</t>
  </si>
  <si>
    <t>damp cool</t>
  </si>
  <si>
    <t>30/3</t>
  </si>
  <si>
    <t>early, no walk, cool</t>
  </si>
  <si>
    <t>3/4</t>
  </si>
  <si>
    <t>early, no walk, mild</t>
  </si>
  <si>
    <t>6/4</t>
  </si>
  <si>
    <t>10/4</t>
  </si>
  <si>
    <t>early, no walk, cool wet</t>
  </si>
  <si>
    <t>13/4</t>
  </si>
  <si>
    <t>17/4</t>
  </si>
  <si>
    <t>school run back on, bit of a head wind, cool</t>
  </si>
  <si>
    <t>crop</t>
  </si>
  <si>
    <t>Stan</t>
  </si>
  <si>
    <t>Sequence</t>
  </si>
  <si>
    <t>Lap Sequence</t>
  </si>
  <si>
    <t>Lap length (Km)</t>
  </si>
  <si>
    <t>Crop</t>
  </si>
  <si>
    <t>Laps</t>
  </si>
  <si>
    <t>Stanway</t>
  </si>
  <si>
    <t>Stanway Cropthorne</t>
  </si>
  <si>
    <t>Cropthorne Stanway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</si>
</sst>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10"/>
      <color indexed="61"/>
      <name val="Arial"/>
      <family val="2"/>
    </font>
    <font>
      <sz val="8"/>
      <name val="Arial"/>
      <family val="2"/>
    </font>
    <font>
      <sz val="12"/>
      <name val="Arial"/>
      <family val="2"/>
    </font>
    <font>
      <sz val="11"/>
      <name val="Arial"/>
      <family val="2"/>
    </font>
    <font>
      <sz val="9"/>
      <color indexed="12"/>
      <name val="Arial"/>
      <family val="2"/>
    </font>
    <font>
      <sz val="9"/>
      <name val="Arial"/>
      <family val="2"/>
    </font>
    <font>
      <sz val="10"/>
      <color theme="9"/>
      <name val="Arial"/>
      <family val="2"/>
    </font>
    <font>
      <b/>
      <sz val="11"/>
      <color theme="3" tint="0.39997558519241921"/>
      <name val="Arial"/>
      <family val="2"/>
    </font>
    <font>
      <sz val="10"/>
      <color rgb="FFFF0000"/>
      <name val="Arial"/>
      <family val="2"/>
    </font>
    <font>
      <b/>
      <sz val="10"/>
      <color rgb="FFFF0000"/>
      <name val="Arial"/>
      <family val="2"/>
    </font>
    <font>
      <sz val="10"/>
      <color rgb="FF0070C0"/>
      <name val="Arial"/>
      <family val="2"/>
    </font>
    <font>
      <b/>
      <sz val="10"/>
      <color rgb="FF0070C0"/>
      <name val="Arial"/>
      <family val="2"/>
    </font>
    <font>
      <sz val="10"/>
      <name val="Arial"/>
      <family val="2"/>
    </font>
    <font>
      <sz val="11"/>
      <color theme="3" tint="0.39997558519241921"/>
      <name val="Arial"/>
      <family val="2"/>
    </font>
    <font>
      <sz val="10"/>
      <color theme="4"/>
      <name val="Arial"/>
      <family val="2"/>
    </font>
    <font>
      <sz val="10"/>
      <color rgb="FF00B050"/>
      <name val="Arial"/>
      <family val="2"/>
    </font>
    <font>
      <b/>
      <sz val="10"/>
      <color theme="9"/>
      <name val="Arial"/>
      <family val="2"/>
    </font>
    <font>
      <b/>
      <sz val="10"/>
      <color rgb="FF92D050"/>
      <name val="Arial"/>
      <family val="2"/>
    </font>
    <font>
      <sz val="10"/>
      <color rgb="FF000000"/>
      <name val="Arial"/>
      <family val="2"/>
    </font>
    <font>
      <sz val="7"/>
      <name val="Arial"/>
      <family val="2"/>
    </font>
    <font>
      <u/>
      <sz val="11"/>
      <color theme="10"/>
      <name val="Calibri"/>
      <family val="2"/>
      <scheme val="minor"/>
    </font>
    <font>
      <sz val="10"/>
      <color theme="1"/>
      <name val="Arial"/>
      <family val="2"/>
    </font>
  </fonts>
  <fills count="7">
    <fill>
      <patternFill patternType="none"/>
    </fill>
    <fill>
      <patternFill patternType="gray125"/>
    </fill>
    <fill>
      <patternFill patternType="solid">
        <fgColor indexed="43"/>
        <bgColor indexed="64"/>
      </patternFill>
    </fill>
    <fill>
      <patternFill patternType="solid">
        <fgColor theme="2"/>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79998168889431442"/>
        <bgColor indexed="64"/>
      </patternFill>
    </fill>
  </fills>
  <borders count="20">
    <border>
      <left/>
      <right/>
      <top/>
      <bottom/>
      <diagonal/>
    </border>
    <border>
      <left/>
      <right/>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style="thin">
        <color indexed="12"/>
      </left>
      <right style="thin">
        <color indexed="12"/>
      </right>
      <top style="thin">
        <color indexed="12"/>
      </top>
      <bottom style="thin">
        <color indexed="12"/>
      </bottom>
      <diagonal/>
    </border>
    <border>
      <left style="thin">
        <color indexed="12"/>
      </left>
      <right style="thin">
        <color indexed="12"/>
      </right>
      <top style="thin">
        <color indexed="12"/>
      </top>
      <bottom/>
      <diagonal/>
    </border>
    <border>
      <left/>
      <right/>
      <top style="thin">
        <color indexed="12"/>
      </top>
      <bottom/>
      <diagonal/>
    </border>
    <border>
      <left/>
      <right style="thin">
        <color indexed="12"/>
      </right>
      <top style="thin">
        <color indexed="12"/>
      </top>
      <bottom/>
      <diagonal/>
    </border>
    <border>
      <left style="thin">
        <color indexed="12"/>
      </left>
      <right/>
      <top style="thin">
        <color indexed="12"/>
      </top>
      <bottom/>
      <diagonal/>
    </border>
    <border>
      <left style="thin">
        <color indexed="12"/>
      </left>
      <right style="thin">
        <color indexed="12"/>
      </right>
      <top/>
      <bottom style="thin">
        <color indexed="12"/>
      </bottom>
      <diagonal/>
    </border>
    <border>
      <left/>
      <right/>
      <top/>
      <bottom style="thin">
        <color indexed="12"/>
      </bottom>
      <diagonal/>
    </border>
    <border>
      <left/>
      <right style="thin">
        <color indexed="12"/>
      </right>
      <top/>
      <bottom style="thin">
        <color indexed="12"/>
      </bottom>
      <diagonal/>
    </border>
    <border>
      <left style="thin">
        <color indexed="12"/>
      </left>
      <right/>
      <top/>
      <bottom style="thin">
        <color indexed="1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theme="0"/>
      </top>
      <bottom style="thin">
        <color theme="0"/>
      </bottom>
      <diagonal/>
    </border>
  </borders>
  <cellStyleXfs count="8">
    <xf numFmtId="0" fontId="0" fillId="0" borderId="0"/>
    <xf numFmtId="0" fontId="3" fillId="0" borderId="0"/>
    <xf numFmtId="9" fontId="18" fillId="0" borderId="0" applyFont="0" applyFill="0" applyBorder="0" applyAlignment="0" applyProtection="0"/>
    <xf numFmtId="0" fontId="4" fillId="0" borderId="0"/>
    <xf numFmtId="0" fontId="2" fillId="0" borderId="0"/>
    <xf numFmtId="0" fontId="1" fillId="0" borderId="0"/>
    <xf numFmtId="9" fontId="1" fillId="0" borderId="0" applyFont="0" applyFill="0" applyBorder="0" applyAlignment="0" applyProtection="0"/>
    <xf numFmtId="0" fontId="26" fillId="0" borderId="0" applyNumberFormat="0" applyFill="0" applyBorder="0" applyAlignment="0" applyProtection="0"/>
  </cellStyleXfs>
  <cellXfs count="133">
    <xf numFmtId="0" fontId="0" fillId="0" borderId="0" xfId="0"/>
    <xf numFmtId="0" fontId="4" fillId="0" borderId="0" xfId="0" applyFont="1"/>
    <xf numFmtId="2" fontId="0" fillId="0" borderId="0" xfId="0" applyNumberFormat="1" applyFill="1" applyProtection="1">
      <protection locked="0"/>
    </xf>
    <xf numFmtId="2" fontId="0" fillId="0" borderId="0" xfId="0" applyNumberFormat="1" applyFill="1"/>
    <xf numFmtId="0" fontId="0" fillId="0" borderId="0" xfId="0" applyFill="1"/>
    <xf numFmtId="0" fontId="6" fillId="0" borderId="0" xfId="0" applyFont="1" applyFill="1"/>
    <xf numFmtId="0" fontId="0" fillId="0" borderId="3" xfId="0" applyFill="1" applyBorder="1" applyAlignment="1">
      <alignment horizontal="center" vertical="top" wrapText="1"/>
    </xf>
    <xf numFmtId="0" fontId="8" fillId="0" borderId="0" xfId="0" applyFont="1"/>
    <xf numFmtId="0" fontId="8" fillId="0" borderId="0" xfId="0" applyFont="1" applyAlignment="1">
      <alignment horizontal="center"/>
    </xf>
    <xf numFmtId="0" fontId="8" fillId="0" borderId="0" xfId="0" applyFont="1" applyAlignment="1">
      <alignment horizontal="left"/>
    </xf>
    <xf numFmtId="0" fontId="0" fillId="2" borderId="4" xfId="0" applyFill="1" applyBorder="1"/>
    <xf numFmtId="0" fontId="9" fillId="0" borderId="5" xfId="0" applyFont="1" applyBorder="1" applyAlignment="1">
      <alignment vertical="top" wrapText="1"/>
    </xf>
    <xf numFmtId="0" fontId="0" fillId="0" borderId="6" xfId="0" applyFill="1" applyBorder="1"/>
    <xf numFmtId="0" fontId="0" fillId="0" borderId="7" xfId="0" applyFill="1" applyBorder="1"/>
    <xf numFmtId="0" fontId="0" fillId="0" borderId="8" xfId="0" applyFill="1" applyBorder="1"/>
    <xf numFmtId="0" fontId="0" fillId="0" borderId="5" xfId="0" applyFill="1" applyBorder="1"/>
    <xf numFmtId="0" fontId="0" fillId="0" borderId="10" xfId="0" applyFill="1" applyBorder="1"/>
    <xf numFmtId="0" fontId="0" fillId="0" borderId="11" xfId="0" applyFill="1" applyBorder="1"/>
    <xf numFmtId="0" fontId="0" fillId="0" borderId="9" xfId="0" applyFill="1" applyBorder="1"/>
    <xf numFmtId="0" fontId="0" fillId="0" borderId="4" xfId="0" applyBorder="1"/>
    <xf numFmtId="0" fontId="10" fillId="0" borderId="0" xfId="0" applyFont="1" applyAlignment="1">
      <alignment horizontal="left"/>
    </xf>
    <xf numFmtId="164" fontId="11" fillId="0" borderId="0" xfId="0" applyNumberFormat="1" applyFont="1" applyFill="1"/>
    <xf numFmtId="0" fontId="4" fillId="0" borderId="0" xfId="0" applyFont="1" applyFill="1"/>
    <xf numFmtId="0" fontId="8" fillId="0" borderId="4" xfId="0" applyFont="1" applyBorder="1" applyAlignment="1">
      <alignment vertical="top" wrapText="1"/>
    </xf>
    <xf numFmtId="0" fontId="0" fillId="0" borderId="4" xfId="0" applyBorder="1" applyAlignment="1"/>
    <xf numFmtId="0" fontId="0" fillId="0" borderId="4" xfId="0" applyBorder="1" applyAlignment="1">
      <alignment horizontal="left"/>
    </xf>
    <xf numFmtId="0" fontId="8" fillId="0" borderId="9" xfId="0" applyFont="1" applyBorder="1" applyAlignment="1">
      <alignment vertical="top" wrapText="1"/>
    </xf>
    <xf numFmtId="2" fontId="4" fillId="0" borderId="0" xfId="0" applyNumberFormat="1" applyFont="1" applyFill="1"/>
    <xf numFmtId="0" fontId="5" fillId="0" borderId="1" xfId="0" applyFont="1" applyBorder="1"/>
    <xf numFmtId="0" fontId="0" fillId="3" borderId="0" xfId="0" applyFill="1"/>
    <xf numFmtId="49" fontId="0" fillId="0" borderId="0" xfId="0" applyNumberFormat="1" applyBorder="1" applyAlignment="1">
      <alignment horizontal="right"/>
    </xf>
    <xf numFmtId="49" fontId="4" fillId="0" borderId="0" xfId="0" applyNumberFormat="1" applyFont="1" applyBorder="1" applyAlignment="1">
      <alignment horizontal="right"/>
    </xf>
    <xf numFmtId="164" fontId="5" fillId="0" borderId="1" xfId="0" applyNumberFormat="1" applyFont="1" applyBorder="1"/>
    <xf numFmtId="49" fontId="0" fillId="3" borderId="0" xfId="0" applyNumberFormat="1" applyFill="1" applyBorder="1" applyAlignment="1">
      <alignment horizontal="right"/>
    </xf>
    <xf numFmtId="0" fontId="13" fillId="0" borderId="0" xfId="0" applyFont="1"/>
    <xf numFmtId="0" fontId="13" fillId="3" borderId="0" xfId="0" applyFont="1" applyFill="1"/>
    <xf numFmtId="0" fontId="4" fillId="3" borderId="0" xfId="0" applyFont="1" applyFill="1"/>
    <xf numFmtId="49" fontId="4" fillId="3" borderId="0" xfId="0" applyNumberFormat="1" applyFont="1" applyFill="1" applyBorder="1" applyAlignment="1">
      <alignment horizontal="right"/>
    </xf>
    <xf numFmtId="49" fontId="5" fillId="0" borderId="0" xfId="0" applyNumberFormat="1" applyFont="1" applyBorder="1" applyAlignment="1">
      <alignment horizontal="left"/>
    </xf>
    <xf numFmtId="164" fontId="16" fillId="3" borderId="0" xfId="0" applyNumberFormat="1" applyFont="1" applyFill="1"/>
    <xf numFmtId="164" fontId="17" fillId="4" borderId="1" xfId="0" applyNumberFormat="1" applyFont="1" applyFill="1" applyBorder="1"/>
    <xf numFmtId="164" fontId="16" fillId="4" borderId="0" xfId="0" applyNumberFormat="1" applyFont="1" applyFill="1"/>
    <xf numFmtId="164" fontId="14" fillId="4" borderId="0" xfId="0" applyNumberFormat="1" applyFont="1" applyFill="1"/>
    <xf numFmtId="0" fontId="13" fillId="3" borderId="17" xfId="0" applyFont="1" applyFill="1" applyBorder="1" applyAlignment="1">
      <alignment horizontal="left"/>
    </xf>
    <xf numFmtId="0" fontId="0" fillId="3" borderId="17" xfId="0" applyFill="1" applyBorder="1" applyAlignment="1">
      <alignment horizontal="left"/>
    </xf>
    <xf numFmtId="0" fontId="5" fillId="3" borderId="18" xfId="0" applyFont="1" applyFill="1" applyBorder="1" applyAlignment="1">
      <alignment horizontal="left"/>
    </xf>
    <xf numFmtId="0" fontId="13" fillId="0" borderId="0" xfId="0" applyFont="1" applyAlignment="1">
      <alignment horizontal="center" vertical="center"/>
    </xf>
    <xf numFmtId="0" fontId="5" fillId="4" borderId="1" xfId="0" applyFont="1" applyFill="1" applyBorder="1" applyAlignment="1">
      <alignment horizontal="center" vertical="center"/>
    </xf>
    <xf numFmtId="164" fontId="21" fillId="3" borderId="0" xfId="0" applyNumberFormat="1" applyFont="1" applyFill="1"/>
    <xf numFmtId="164" fontId="21" fillId="0" borderId="0" xfId="0" applyNumberFormat="1" applyFont="1"/>
    <xf numFmtId="0" fontId="20" fillId="3" borderId="0" xfId="0" applyFont="1" applyFill="1"/>
    <xf numFmtId="0" fontId="20" fillId="0" borderId="0" xfId="0" applyFont="1"/>
    <xf numFmtId="164" fontId="12" fillId="3" borderId="0" xfId="0" applyNumberFormat="1" applyFont="1" applyFill="1"/>
    <xf numFmtId="164" fontId="22" fillId="4" borderId="1" xfId="0" applyNumberFormat="1" applyFont="1" applyFill="1" applyBorder="1"/>
    <xf numFmtId="164" fontId="12" fillId="4" borderId="0" xfId="0" applyNumberFormat="1" applyFont="1" applyFill="1"/>
    <xf numFmtId="0" fontId="23" fillId="0" borderId="1" xfId="0" applyFont="1" applyBorder="1"/>
    <xf numFmtId="164" fontId="14" fillId="5" borderId="0" xfId="0" applyNumberFormat="1" applyFont="1" applyFill="1"/>
    <xf numFmtId="0" fontId="13" fillId="5" borderId="0" xfId="0" applyFont="1" applyFill="1" applyAlignment="1">
      <alignment horizontal="center"/>
    </xf>
    <xf numFmtId="2" fontId="0" fillId="0" borderId="0" xfId="0" applyNumberFormat="1" applyFill="1" applyBorder="1"/>
    <xf numFmtId="2" fontId="6" fillId="0" borderId="0" xfId="0" applyNumberFormat="1" applyFont="1" applyFill="1" applyBorder="1" applyProtection="1">
      <protection locked="0"/>
    </xf>
    <xf numFmtId="2" fontId="0" fillId="0" borderId="17" xfId="0" applyNumberFormat="1" applyFill="1" applyBorder="1" applyProtection="1">
      <protection locked="0"/>
    </xf>
    <xf numFmtId="2" fontId="0" fillId="0" borderId="0" xfId="0" applyNumberFormat="1" applyFill="1" applyBorder="1" applyProtection="1">
      <protection locked="0"/>
    </xf>
    <xf numFmtId="2" fontId="6" fillId="0" borderId="0" xfId="0" applyNumberFormat="1" applyFont="1" applyFill="1" applyBorder="1"/>
    <xf numFmtId="0" fontId="4" fillId="0" borderId="1" xfId="0" quotePrefix="1" applyFont="1" applyFill="1" applyBorder="1"/>
    <xf numFmtId="0" fontId="4" fillId="0" borderId="1" xfId="0" applyFont="1" applyFill="1" applyBorder="1"/>
    <xf numFmtId="0" fontId="0" fillId="0" borderId="1" xfId="0" applyFill="1" applyBorder="1"/>
    <xf numFmtId="0" fontId="6" fillId="0" borderId="1" xfId="0" applyFont="1" applyFill="1" applyBorder="1"/>
    <xf numFmtId="2" fontId="0" fillId="0" borderId="1" xfId="0" applyNumberFormat="1" applyFont="1" applyFill="1" applyBorder="1"/>
    <xf numFmtId="0" fontId="0" fillId="0" borderId="18" xfId="0" applyFill="1" applyBorder="1"/>
    <xf numFmtId="1" fontId="25" fillId="4" borderId="0" xfId="0" applyNumberFormat="1" applyFont="1" applyFill="1" applyAlignment="1">
      <alignment horizontal="center"/>
    </xf>
    <xf numFmtId="1" fontId="25" fillId="5" borderId="0" xfId="0" applyNumberFormat="1" applyFont="1" applyFill="1" applyAlignment="1">
      <alignment horizontal="center"/>
    </xf>
    <xf numFmtId="164" fontId="21" fillId="6" borderId="0" xfId="0" applyNumberFormat="1" applyFont="1" applyFill="1" applyBorder="1"/>
    <xf numFmtId="164" fontId="20" fillId="6" borderId="0" xfId="0" applyNumberFormat="1" applyFont="1" applyFill="1" applyBorder="1"/>
    <xf numFmtId="164" fontId="12" fillId="6" borderId="0" xfId="0" applyNumberFormat="1" applyFont="1" applyFill="1" applyBorder="1"/>
    <xf numFmtId="9" fontId="0" fillId="6" borderId="17" xfId="2" applyFont="1" applyFill="1" applyBorder="1" applyAlignment="1">
      <alignment horizontal="left"/>
    </xf>
    <xf numFmtId="164" fontId="16" fillId="3" borderId="0" xfId="0" applyNumberFormat="1" applyFont="1" applyFill="1" applyAlignment="1">
      <alignment horizontal="right"/>
    </xf>
    <xf numFmtId="164" fontId="21" fillId="3" borderId="0" xfId="0" applyNumberFormat="1" applyFont="1" applyFill="1" applyAlignment="1">
      <alignment horizontal="center"/>
    </xf>
    <xf numFmtId="0" fontId="13" fillId="0" borderId="0" xfId="0" applyFont="1" applyAlignment="1">
      <alignment horizontal="center"/>
    </xf>
    <xf numFmtId="2" fontId="7" fillId="6" borderId="0" xfId="0" applyNumberFormat="1" applyFont="1" applyFill="1" applyAlignment="1">
      <alignment horizontal="right"/>
    </xf>
    <xf numFmtId="164" fontId="21" fillId="6" borderId="0" xfId="0" applyNumberFormat="1" applyFont="1" applyFill="1"/>
    <xf numFmtId="164" fontId="20" fillId="6" borderId="0" xfId="0" applyNumberFormat="1" applyFont="1" applyFill="1"/>
    <xf numFmtId="164" fontId="12" fillId="6" borderId="0" xfId="0" applyNumberFormat="1" applyFont="1" applyFill="1"/>
    <xf numFmtId="0" fontId="27" fillId="3" borderId="19" xfId="0" applyFont="1" applyFill="1" applyBorder="1"/>
    <xf numFmtId="164" fontId="19" fillId="5" borderId="0" xfId="0" applyNumberFormat="1" applyFont="1" applyFill="1" applyAlignment="1">
      <alignment horizontal="center"/>
    </xf>
    <xf numFmtId="0" fontId="13" fillId="0" borderId="0" xfId="0" applyFont="1" applyAlignment="1">
      <alignment horizontal="left"/>
    </xf>
    <xf numFmtId="0" fontId="13" fillId="0" borderId="0" xfId="0" applyFont="1" applyAlignment="1">
      <alignment horizontal="center"/>
    </xf>
    <xf numFmtId="1" fontId="13" fillId="0" borderId="0" xfId="0" applyNumberFormat="1" applyFont="1" applyAlignment="1">
      <alignment horizontal="center"/>
    </xf>
    <xf numFmtId="1" fontId="25" fillId="5" borderId="0" xfId="0" applyNumberFormat="1" applyFont="1" applyFill="1" applyAlignment="1">
      <alignment horizontal="center" vertical="center"/>
    </xf>
    <xf numFmtId="164" fontId="16" fillId="3" borderId="0" xfId="0" applyNumberFormat="1" applyFont="1" applyFill="1" applyAlignment="1">
      <alignment horizontal="center" vertical="center"/>
    </xf>
    <xf numFmtId="0" fontId="17" fillId="0" borderId="1" xfId="0" applyFont="1" applyBorder="1" applyAlignment="1">
      <alignment horizontal="center" vertical="center"/>
    </xf>
    <xf numFmtId="164" fontId="16" fillId="4" borderId="0" xfId="0" applyNumberFormat="1" applyFont="1" applyFill="1" applyAlignment="1">
      <alignment horizontal="center" vertical="center"/>
    </xf>
    <xf numFmtId="164" fontId="16" fillId="3" borderId="0" xfId="0" applyNumberFormat="1" applyFont="1" applyFill="1" applyAlignment="1">
      <alignment horizontal="center"/>
    </xf>
    <xf numFmtId="0" fontId="17" fillId="0" borderId="1" xfId="0" applyFont="1" applyBorder="1" applyAlignment="1">
      <alignment horizontal="center"/>
    </xf>
    <xf numFmtId="164" fontId="16" fillId="4" borderId="0" xfId="0" applyNumberFormat="1" applyFont="1" applyFill="1" applyAlignment="1">
      <alignment horizontal="center"/>
    </xf>
    <xf numFmtId="0" fontId="13" fillId="0" borderId="0" xfId="0" applyFont="1" applyAlignment="1"/>
    <xf numFmtId="2" fontId="13" fillId="0" borderId="0" xfId="0" applyNumberFormat="1" applyFont="1" applyAlignment="1">
      <alignment horizontal="center"/>
    </xf>
    <xf numFmtId="1" fontId="13" fillId="3" borderId="0" xfId="0" applyNumberFormat="1" applyFont="1" applyFill="1"/>
    <xf numFmtId="1" fontId="0" fillId="3" borderId="0" xfId="0" applyNumberFormat="1" applyFill="1"/>
    <xf numFmtId="1" fontId="0" fillId="3" borderId="0" xfId="0" applyNumberFormat="1" applyFill="1" applyBorder="1" applyAlignment="1">
      <alignment horizontal="right"/>
    </xf>
    <xf numFmtId="1" fontId="4" fillId="3" borderId="0" xfId="0" applyNumberFormat="1" applyFont="1" applyFill="1"/>
    <xf numFmtId="1" fontId="5" fillId="3" borderId="0" xfId="0" applyNumberFormat="1" applyFont="1" applyFill="1" applyAlignment="1">
      <alignment horizontal="center"/>
    </xf>
    <xf numFmtId="1" fontId="5" fillId="3" borderId="0" xfId="0" applyNumberFormat="1" applyFont="1" applyFill="1" applyBorder="1" applyAlignment="1">
      <alignment horizontal="center"/>
    </xf>
    <xf numFmtId="1" fontId="5" fillId="3" borderId="1" xfId="0" applyNumberFormat="1" applyFont="1" applyFill="1" applyBorder="1"/>
    <xf numFmtId="1" fontId="5" fillId="0" borderId="1" xfId="0" applyNumberFormat="1" applyFont="1" applyBorder="1" applyAlignment="1">
      <alignment horizontal="center" vertical="center"/>
    </xf>
    <xf numFmtId="1" fontId="4" fillId="0" borderId="0" xfId="0" applyNumberFormat="1" applyFont="1" applyBorder="1" applyAlignment="1">
      <alignment horizontal="right"/>
    </xf>
    <xf numFmtId="1" fontId="0" fillId="0" borderId="0" xfId="0" applyNumberFormat="1" applyBorder="1" applyAlignment="1">
      <alignment horizontal="right"/>
    </xf>
    <xf numFmtId="2" fontId="13" fillId="0" borderId="0" xfId="0" applyNumberFormat="1" applyFont="1" applyAlignment="1"/>
    <xf numFmtId="2" fontId="14" fillId="3" borderId="0" xfId="0" applyNumberFormat="1" applyFont="1" applyFill="1"/>
    <xf numFmtId="2" fontId="15" fillId="0" borderId="1" xfId="0" applyNumberFormat="1" applyFont="1" applyBorder="1"/>
    <xf numFmtId="2" fontId="14" fillId="0" borderId="0" xfId="0" applyNumberFormat="1" applyFont="1"/>
    <xf numFmtId="2" fontId="13" fillId="5" borderId="0" xfId="0" applyNumberFormat="1" applyFont="1" applyFill="1" applyAlignment="1">
      <alignment horizontal="center"/>
    </xf>
    <xf numFmtId="0" fontId="8" fillId="0" borderId="4" xfId="0" applyFont="1" applyBorder="1" applyAlignment="1">
      <alignment vertical="top" wrapText="1"/>
    </xf>
    <xf numFmtId="0" fontId="0" fillId="0" borderId="4" xfId="0" applyBorder="1" applyAlignment="1"/>
    <xf numFmtId="0" fontId="8" fillId="0" borderId="4" xfId="0" applyFont="1" applyBorder="1" applyAlignment="1">
      <alignment horizontal="left" vertical="top" wrapText="1"/>
    </xf>
    <xf numFmtId="0" fontId="0" fillId="0" borderId="4" xfId="0" applyBorder="1" applyAlignment="1">
      <alignment horizontal="left"/>
    </xf>
    <xf numFmtId="0" fontId="8" fillId="0" borderId="4" xfId="0" applyFont="1" applyBorder="1" applyAlignment="1">
      <alignment vertical="top"/>
    </xf>
    <xf numFmtId="0" fontId="8" fillId="0" borderId="12" xfId="0" applyFont="1" applyBorder="1" applyAlignment="1">
      <alignment vertical="top" wrapText="1"/>
    </xf>
    <xf numFmtId="0" fontId="0" fillId="0" borderId="10" xfId="0" applyBorder="1" applyAlignment="1"/>
    <xf numFmtId="0" fontId="8" fillId="0" borderId="9" xfId="0" applyFont="1" applyBorder="1" applyAlignment="1">
      <alignment vertical="top" wrapText="1"/>
    </xf>
    <xf numFmtId="0" fontId="0" fillId="0" borderId="12" xfId="0" applyBorder="1" applyAlignment="1"/>
    <xf numFmtId="0" fontId="0" fillId="0" borderId="13" xfId="0" applyFill="1" applyBorder="1" applyAlignment="1">
      <alignment horizontal="center" vertical="center" wrapText="1"/>
    </xf>
    <xf numFmtId="0" fontId="0" fillId="0" borderId="14" xfId="0" applyFill="1" applyBorder="1" applyAlignment="1">
      <alignment horizontal="center" vertical="center" wrapText="1"/>
    </xf>
    <xf numFmtId="0" fontId="0" fillId="0" borderId="3" xfId="0" applyFill="1" applyBorder="1" applyAlignment="1">
      <alignment horizontal="center" vertical="center" wrapText="1"/>
    </xf>
    <xf numFmtId="0" fontId="0" fillId="0" borderId="15" xfId="0" applyFill="1" applyBorder="1" applyAlignment="1">
      <alignment horizontal="center" vertical="top" wrapText="1"/>
    </xf>
    <xf numFmtId="0" fontId="0" fillId="0" borderId="16" xfId="0" applyFill="1" applyBorder="1" applyAlignment="1">
      <alignment horizontal="center" vertical="top" wrapText="1"/>
    </xf>
    <xf numFmtId="0" fontId="0" fillId="0" borderId="2" xfId="0" applyFill="1" applyBorder="1" applyAlignment="1">
      <alignment horizontal="center" vertical="top" wrapText="1"/>
    </xf>
    <xf numFmtId="0" fontId="0" fillId="0" borderId="0" xfId="0" applyFill="1" applyBorder="1" applyAlignment="1">
      <alignment horizontal="center" vertical="top" wrapText="1"/>
    </xf>
    <xf numFmtId="0" fontId="10" fillId="0" borderId="10" xfId="0" applyFont="1" applyBorder="1" applyAlignment="1">
      <alignment vertical="top" wrapText="1"/>
    </xf>
    <xf numFmtId="0" fontId="10" fillId="0" borderId="10" xfId="0" applyFont="1" applyBorder="1" applyAlignment="1">
      <alignment vertical="top"/>
    </xf>
    <xf numFmtId="0" fontId="8" fillId="0" borderId="8" xfId="0" applyFont="1" applyBorder="1" applyAlignment="1">
      <alignment vertical="top" wrapText="1"/>
    </xf>
    <xf numFmtId="0" fontId="0" fillId="0" borderId="6" xfId="0" applyBorder="1" applyAlignment="1"/>
    <xf numFmtId="0" fontId="8" fillId="0" borderId="5" xfId="0" applyFont="1" applyBorder="1" applyAlignment="1">
      <alignment vertical="top" wrapText="1"/>
    </xf>
    <xf numFmtId="0" fontId="0" fillId="0" borderId="8" xfId="0" applyBorder="1" applyAlignment="1"/>
  </cellXfs>
  <cellStyles count="8">
    <cellStyle name="Hyperlink 2" xfId="7" xr:uid="{F2EBDA55-EBC5-41D6-92BA-54001803D8D3}"/>
    <cellStyle name="Normal" xfId="0" builtinId="0"/>
    <cellStyle name="Normal 2" xfId="1" xr:uid="{00000000-0005-0000-0000-000001000000}"/>
    <cellStyle name="Normal 3" xfId="3" xr:uid="{A032EB80-17FE-40CB-8F9F-D7A71FE2EC99}"/>
    <cellStyle name="Normal 4" xfId="4" xr:uid="{199ED4E8-1A07-428E-B3E5-9020F1633FFB}"/>
    <cellStyle name="Normal 5" xfId="5" xr:uid="{2E7EBDBC-E10C-4125-A280-1ACC04FB2052}"/>
    <cellStyle name="Percent" xfId="2" builtinId="5"/>
    <cellStyle name="Percent 2" xfId="6" xr:uid="{1E14EB25-7BB1-4374-BF46-21D03803C454}"/>
  </cellStyles>
  <dxfs count="29">
    <dxf>
      <fill>
        <patternFill>
          <bgColor indexed="41"/>
        </patternFill>
      </fill>
    </dxf>
    <dxf>
      <fill>
        <patternFill>
          <bgColor indexed="51"/>
        </patternFill>
      </fill>
    </dxf>
    <dxf>
      <fill>
        <patternFill>
          <bgColor indexed="10"/>
        </patternFill>
      </fill>
    </dxf>
    <dxf>
      <fill>
        <patternFill>
          <bgColor indexed="41"/>
        </patternFill>
      </fill>
    </dxf>
    <dxf>
      <fill>
        <patternFill>
          <bgColor indexed="51"/>
        </patternFill>
      </fill>
    </dxf>
    <dxf>
      <fill>
        <patternFill>
          <bgColor indexed="10"/>
        </patternFill>
      </fill>
    </dxf>
    <dxf>
      <font>
        <b val="0"/>
        <i val="0"/>
        <strike val="0"/>
        <condense val="0"/>
        <extend val="0"/>
        <outline val="0"/>
        <shadow val="0"/>
        <u val="none"/>
        <vertAlign val="baseline"/>
        <sz val="10"/>
        <color theme="9"/>
        <name val="Arial"/>
        <scheme val="none"/>
      </font>
      <numFmt numFmtId="164" formatCode="0.0"/>
      <fill>
        <patternFill patternType="solid">
          <fgColor indexed="64"/>
          <bgColor theme="5" tint="0.79998168889431442"/>
        </patternFill>
      </fill>
    </dxf>
    <dxf>
      <font>
        <b val="0"/>
        <i val="0"/>
        <strike val="0"/>
        <condense val="0"/>
        <extend val="0"/>
        <outline val="0"/>
        <shadow val="0"/>
        <u val="none"/>
        <vertAlign val="baseline"/>
        <sz val="10"/>
        <color theme="4"/>
        <name val="Arial"/>
        <scheme val="none"/>
      </font>
      <numFmt numFmtId="164" formatCode="0.0"/>
      <fill>
        <patternFill patternType="solid">
          <fgColor indexed="64"/>
          <bgColor theme="5" tint="0.79998168889431442"/>
        </patternFill>
      </fill>
    </dxf>
    <dxf>
      <font>
        <b val="0"/>
        <i val="0"/>
        <strike val="0"/>
        <condense val="0"/>
        <extend val="0"/>
        <outline val="0"/>
        <shadow val="0"/>
        <u val="none"/>
        <vertAlign val="baseline"/>
        <sz val="10"/>
        <color rgb="FF00B050"/>
        <name val="Arial"/>
        <scheme val="none"/>
      </font>
      <numFmt numFmtId="164" formatCode="0.0"/>
      <fill>
        <patternFill patternType="solid">
          <fgColor indexed="64"/>
          <bgColor theme="5" tint="0.79998168889431442"/>
        </patternFill>
      </fill>
    </dxf>
    <dxf>
      <font>
        <b val="0"/>
        <i val="0"/>
        <strike val="0"/>
        <condense val="0"/>
        <extend val="0"/>
        <outline val="0"/>
        <shadow val="0"/>
        <u val="none"/>
        <vertAlign val="baseline"/>
        <sz val="10"/>
        <color rgb="FFFF0000"/>
        <name val="Arial"/>
        <scheme val="none"/>
      </font>
      <numFmt numFmtId="2" formatCode="0.00"/>
    </dxf>
    <dxf>
      <numFmt numFmtId="30" formatCode="@"/>
      <alignment horizontal="right" vertical="bottom" textRotation="0" wrapText="0" relativeIndent="0" justifyLastLine="0" shrinkToFit="0" readingOrder="0"/>
    </dxf>
    <dxf>
      <font>
        <b val="0"/>
        <i val="0"/>
        <strike val="0"/>
        <condense val="0"/>
        <extend val="0"/>
        <outline val="0"/>
        <shadow val="0"/>
        <u val="none"/>
        <vertAlign val="baseline"/>
        <sz val="10"/>
        <color auto="1"/>
        <name val="Arial"/>
        <scheme val="none"/>
      </font>
      <numFmt numFmtId="30" formatCode="@"/>
      <alignment horizontal="right" vertical="bottom" textRotation="0" wrapText="0" relative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2"/>
        </patternFill>
      </fill>
    </dxf>
    <dxf>
      <numFmt numFmtId="0" formatCode="General"/>
      <fill>
        <patternFill patternType="solid">
          <fgColor indexed="64"/>
          <bgColor theme="2"/>
        </patternFill>
      </fill>
    </dxf>
    <dxf>
      <border outline="0">
        <bottom style="thin">
          <color rgb="FF000000"/>
        </bottom>
      </border>
    </dxf>
    <dxf>
      <font>
        <color theme="6" tint="-0.499984740745262"/>
      </font>
    </dxf>
    <dxf>
      <font>
        <color theme="6" tint="-0.499984740745262"/>
      </font>
    </dxf>
    <dxf>
      <font>
        <color theme="6" tint="-0.499984740745262"/>
      </font>
    </dxf>
    <dxf>
      <font>
        <color theme="6" tint="-0.499984740745262"/>
      </font>
    </dxf>
    <dxf>
      <font>
        <color theme="6" tint="-0.499984740745262"/>
      </font>
    </dxf>
    <dxf>
      <font>
        <color theme="6" tint="-0.499984740745262"/>
      </font>
    </dxf>
    <dxf>
      <font>
        <color theme="6" tint="-0.499984740745262"/>
      </font>
    </dxf>
    <dxf>
      <font>
        <color theme="6" tint="-0.499984740745262"/>
      </font>
    </dxf>
    <dxf>
      <font>
        <color theme="6" tint="-0.499984740745262"/>
      </font>
    </dxf>
    <dxf>
      <font>
        <color theme="6" tint="-0.499984740745262"/>
      </font>
    </dxf>
    <dxf>
      <font>
        <color theme="6" tint="-0.499984740745262"/>
      </font>
    </dxf>
    <dxf>
      <font>
        <color theme="6" tint="-0.499984740745262"/>
      </font>
    </dxf>
    <dxf>
      <font>
        <color theme="6" tint="-0.499984740745262"/>
      </font>
    </dxf>
    <dxf>
      <font>
        <color theme="6" tint="-0.499984740745262"/>
      </font>
    </dxf>
  </dxfs>
  <tableStyles count="0" defaultTableStyle="TableStyleMedium9" defaultPivotStyle="PivotStyleLight16"/>
  <colors>
    <mruColors>
      <color rgb="FFE5EF8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988407699037624E-2"/>
          <c:y val="0.16896015270818421"/>
          <c:w val="0.8734916022821535"/>
          <c:h val="0.55233309472679548"/>
        </c:manualLayout>
      </c:layout>
      <c:barChart>
        <c:barDir val="col"/>
        <c:grouping val="clustered"/>
        <c:varyColors val="0"/>
        <c:dLbls>
          <c:showLegendKey val="0"/>
          <c:showVal val="0"/>
          <c:showCatName val="0"/>
          <c:showSerName val="0"/>
          <c:showPercent val="0"/>
          <c:showBubbleSize val="0"/>
        </c:dLbls>
        <c:gapWidth val="150"/>
        <c:axId val="1849954896"/>
        <c:axId val="1892632320"/>
        <c:extLst>
          <c:ext xmlns:c15="http://schemas.microsoft.com/office/drawing/2012/chart" uri="{02D57815-91ED-43cb-92C2-25804820EDAC}">
            <c15:filteredBarSeries>
              <c15:ser>
                <c:idx val="1"/>
                <c:order val="0"/>
                <c:tx>
                  <c:strRef>
                    <c:extLst>
                      <c:ext uri="{02D57815-91ED-43cb-92C2-25804820EDAC}">
                        <c15:formulaRef>
                          <c15:sqref>Training!$E$23</c15:sqref>
                        </c15:formulaRef>
                      </c:ext>
                    </c:extLst>
                    <c:strCache>
                      <c:ptCount val="1"/>
                      <c:pt idx="0">
                        <c:v>Cramp</c:v>
                      </c:pt>
                    </c:strCache>
                  </c:strRef>
                </c:tx>
                <c:spPr>
                  <a:solidFill>
                    <a:schemeClr val="tx2">
                      <a:lumMod val="40000"/>
                      <a:lumOff val="60000"/>
                      <a:alpha val="50000"/>
                    </a:schemeClr>
                  </a:solidFill>
                  <a:ln>
                    <a:noFill/>
                  </a:ln>
                </c:spPr>
                <c:invertIfNegative val="0"/>
                <c:cat>
                  <c:strRef>
                    <c:extLst>
                      <c:ext uri="{02D57815-91ED-43cb-92C2-25804820EDAC}">
                        <c15:formulaRef>
                          <c15:sqref>Training!$D$24:$D$45</c15:sqref>
                        </c15:formulaRef>
                      </c:ext>
                    </c:extLst>
                    <c:strCache>
                      <c:ptCount val="22"/>
                      <c:pt idx="0">
                        <c:v>2/2/18</c:v>
                      </c:pt>
                      <c:pt idx="1">
                        <c:v>6/2</c:v>
                      </c:pt>
                      <c:pt idx="2">
                        <c:v>9/2</c:v>
                      </c:pt>
                      <c:pt idx="3">
                        <c:v>13/2</c:v>
                      </c:pt>
                      <c:pt idx="4">
                        <c:v>16/2</c:v>
                      </c:pt>
                      <c:pt idx="5">
                        <c:v>20/2</c:v>
                      </c:pt>
                      <c:pt idx="6">
                        <c:v>23/2</c:v>
                      </c:pt>
                      <c:pt idx="7">
                        <c:v>30/2</c:v>
                      </c:pt>
                      <c:pt idx="8">
                        <c:v>2/3</c:v>
                      </c:pt>
                      <c:pt idx="9">
                        <c:v>6/3</c:v>
                      </c:pt>
                      <c:pt idx="10">
                        <c:v>9/3</c:v>
                      </c:pt>
                      <c:pt idx="11">
                        <c:v>13/3</c:v>
                      </c:pt>
                      <c:pt idx="12">
                        <c:v>16/3</c:v>
                      </c:pt>
                      <c:pt idx="13">
                        <c:v>20/3</c:v>
                      </c:pt>
                      <c:pt idx="14">
                        <c:v>23/3</c:v>
                      </c:pt>
                      <c:pt idx="15">
                        <c:v>27/3</c:v>
                      </c:pt>
                      <c:pt idx="16">
                        <c:v>30/3</c:v>
                      </c:pt>
                      <c:pt idx="17">
                        <c:v>3/4</c:v>
                      </c:pt>
                      <c:pt idx="18">
                        <c:v>6/4</c:v>
                      </c:pt>
                      <c:pt idx="19">
                        <c:v>10/4</c:v>
                      </c:pt>
                      <c:pt idx="20">
                        <c:v>13/4</c:v>
                      </c:pt>
                      <c:pt idx="21">
                        <c:v>17/4</c:v>
                      </c:pt>
                    </c:strCache>
                  </c:strRef>
                </c:cat>
                <c:val>
                  <c:numRef>
                    <c:extLst>
                      <c:ext uri="{02D57815-91ED-43cb-92C2-25804820EDAC}">
                        <c15:formulaRef>
                          <c15:sqref>Training!$E$24:$E$45</c15:sqref>
                        </c15:formulaRef>
                      </c:ext>
                    </c:extLst>
                    <c:numCache>
                      <c:formatCode>@</c:formatCode>
                      <c:ptCount val="22"/>
                    </c:numCache>
                  </c:numRef>
                </c:val>
                <c:extLst>
                  <c:ext xmlns:c16="http://schemas.microsoft.com/office/drawing/2014/chart" uri="{C3380CC4-5D6E-409C-BE32-E72D297353CC}">
                    <c16:uniqueId val="{00000000-89C0-4039-9F6B-6120FFC4DFF2}"/>
                  </c:ext>
                </c:extLst>
              </c15:ser>
            </c15:filteredBarSeries>
          </c:ext>
        </c:extLst>
      </c:barChart>
      <c:lineChart>
        <c:grouping val="standard"/>
        <c:varyColors val="0"/>
        <c:ser>
          <c:idx val="2"/>
          <c:order val="1"/>
          <c:tx>
            <c:strRef>
              <c:f>Training!$F$23</c:f>
              <c:strCache>
                <c:ptCount val="1"/>
                <c:pt idx="0">
                  <c:v>Distance</c:v>
                </c:pt>
              </c:strCache>
            </c:strRef>
          </c:tx>
          <c:spPr>
            <a:ln>
              <a:solidFill>
                <a:srgbClr val="FF0000"/>
              </a:solidFill>
            </a:ln>
          </c:spPr>
          <c:marker>
            <c:symbol val="none"/>
          </c:marker>
          <c:cat>
            <c:strRef>
              <c:f>Training!$D$24:$D$45</c:f>
              <c:strCache>
                <c:ptCount val="22"/>
                <c:pt idx="0">
                  <c:v>2/2/18</c:v>
                </c:pt>
                <c:pt idx="1">
                  <c:v>6/2</c:v>
                </c:pt>
                <c:pt idx="2">
                  <c:v>9/2</c:v>
                </c:pt>
                <c:pt idx="3">
                  <c:v>13/2</c:v>
                </c:pt>
                <c:pt idx="4">
                  <c:v>16/2</c:v>
                </c:pt>
                <c:pt idx="5">
                  <c:v>20/2</c:v>
                </c:pt>
                <c:pt idx="6">
                  <c:v>23/2</c:v>
                </c:pt>
                <c:pt idx="7">
                  <c:v>30/2</c:v>
                </c:pt>
                <c:pt idx="8">
                  <c:v>2/3</c:v>
                </c:pt>
                <c:pt idx="9">
                  <c:v>6/3</c:v>
                </c:pt>
                <c:pt idx="10">
                  <c:v>9/3</c:v>
                </c:pt>
                <c:pt idx="11">
                  <c:v>13/3</c:v>
                </c:pt>
                <c:pt idx="12">
                  <c:v>16/3</c:v>
                </c:pt>
                <c:pt idx="13">
                  <c:v>20/3</c:v>
                </c:pt>
                <c:pt idx="14">
                  <c:v>23/3</c:v>
                </c:pt>
                <c:pt idx="15">
                  <c:v>27/3</c:v>
                </c:pt>
                <c:pt idx="16">
                  <c:v>30/3</c:v>
                </c:pt>
                <c:pt idx="17">
                  <c:v>3/4</c:v>
                </c:pt>
                <c:pt idx="18">
                  <c:v>6/4</c:v>
                </c:pt>
                <c:pt idx="19">
                  <c:v>10/4</c:v>
                </c:pt>
                <c:pt idx="20">
                  <c:v>13/4</c:v>
                </c:pt>
                <c:pt idx="21">
                  <c:v>17/4</c:v>
                </c:pt>
              </c:strCache>
            </c:strRef>
          </c:cat>
          <c:val>
            <c:numRef>
              <c:f>Training!$F$24:$F$45</c:f>
              <c:numCache>
                <c:formatCode>0.00</c:formatCode>
                <c:ptCount val="22"/>
                <c:pt idx="0">
                  <c:v>1.1000000000000001</c:v>
                </c:pt>
                <c:pt idx="1">
                  <c:v>1.1000000000000001</c:v>
                </c:pt>
                <c:pt idx="2">
                  <c:v>1.1000000000000001</c:v>
                </c:pt>
                <c:pt idx="3">
                  <c:v>1.1000000000000001</c:v>
                </c:pt>
                <c:pt idx="4">
                  <c:v>1.1000000000000001</c:v>
                </c:pt>
                <c:pt idx="5">
                  <c:v>1.55</c:v>
                </c:pt>
                <c:pt idx="6">
                  <c:v>1.55</c:v>
                </c:pt>
                <c:pt idx="7">
                  <c:v>1.55</c:v>
                </c:pt>
                <c:pt idx="8">
                  <c:v>1.55</c:v>
                </c:pt>
                <c:pt idx="9">
                  <c:v>2.2000000000000002</c:v>
                </c:pt>
                <c:pt idx="10">
                  <c:v>2.2000000000000002</c:v>
                </c:pt>
                <c:pt idx="11">
                  <c:v>2.2000000000000002</c:v>
                </c:pt>
                <c:pt idx="12">
                  <c:v>2.2000000000000002</c:v>
                </c:pt>
                <c:pt idx="13">
                  <c:v>2.6500000000000004</c:v>
                </c:pt>
                <c:pt idx="14">
                  <c:v>2.6500000000000004</c:v>
                </c:pt>
                <c:pt idx="15">
                  <c:v>2.6500000000000004</c:v>
                </c:pt>
                <c:pt idx="16">
                  <c:v>2.6500000000000004</c:v>
                </c:pt>
                <c:pt idx="17">
                  <c:v>2.6500000000000004</c:v>
                </c:pt>
                <c:pt idx="18">
                  <c:v>2.6500000000000004</c:v>
                </c:pt>
                <c:pt idx="19">
                  <c:v>2.6500000000000004</c:v>
                </c:pt>
                <c:pt idx="20">
                  <c:v>3.1</c:v>
                </c:pt>
                <c:pt idx="21">
                  <c:v>3.1</c:v>
                </c:pt>
              </c:numCache>
            </c:numRef>
          </c:val>
          <c:smooth val="0"/>
          <c:extLst>
            <c:ext xmlns:c16="http://schemas.microsoft.com/office/drawing/2014/chart" uri="{C3380CC4-5D6E-409C-BE32-E72D297353CC}">
              <c16:uniqueId val="{00000001-89C0-4039-9F6B-6120FFC4DFF2}"/>
            </c:ext>
          </c:extLst>
        </c:ser>
        <c:ser>
          <c:idx val="3"/>
          <c:order val="2"/>
          <c:tx>
            <c:strRef>
              <c:f>Training!$G$23</c:f>
              <c:strCache>
                <c:ptCount val="1"/>
                <c:pt idx="0">
                  <c:v>DTime</c:v>
                </c:pt>
              </c:strCache>
            </c:strRef>
          </c:tx>
          <c:spPr>
            <a:ln>
              <a:solidFill>
                <a:srgbClr val="92D050"/>
              </a:solidFill>
            </a:ln>
          </c:spPr>
          <c:marker>
            <c:symbol val="none"/>
          </c:marker>
          <c:cat>
            <c:strRef>
              <c:f>Training!$D$24:$D$45</c:f>
              <c:strCache>
                <c:ptCount val="22"/>
                <c:pt idx="0">
                  <c:v>2/2/18</c:v>
                </c:pt>
                <c:pt idx="1">
                  <c:v>6/2</c:v>
                </c:pt>
                <c:pt idx="2">
                  <c:v>9/2</c:v>
                </c:pt>
                <c:pt idx="3">
                  <c:v>13/2</c:v>
                </c:pt>
                <c:pt idx="4">
                  <c:v>16/2</c:v>
                </c:pt>
                <c:pt idx="5">
                  <c:v>20/2</c:v>
                </c:pt>
                <c:pt idx="6">
                  <c:v>23/2</c:v>
                </c:pt>
                <c:pt idx="7">
                  <c:v>30/2</c:v>
                </c:pt>
                <c:pt idx="8">
                  <c:v>2/3</c:v>
                </c:pt>
                <c:pt idx="9">
                  <c:v>6/3</c:v>
                </c:pt>
                <c:pt idx="10">
                  <c:v>9/3</c:v>
                </c:pt>
                <c:pt idx="11">
                  <c:v>13/3</c:v>
                </c:pt>
                <c:pt idx="12">
                  <c:v>16/3</c:v>
                </c:pt>
                <c:pt idx="13">
                  <c:v>20/3</c:v>
                </c:pt>
                <c:pt idx="14">
                  <c:v>23/3</c:v>
                </c:pt>
                <c:pt idx="15">
                  <c:v>27/3</c:v>
                </c:pt>
                <c:pt idx="16">
                  <c:v>30/3</c:v>
                </c:pt>
                <c:pt idx="17">
                  <c:v>3/4</c:v>
                </c:pt>
                <c:pt idx="18">
                  <c:v>6/4</c:v>
                </c:pt>
                <c:pt idx="19">
                  <c:v>10/4</c:v>
                </c:pt>
                <c:pt idx="20">
                  <c:v>13/4</c:v>
                </c:pt>
                <c:pt idx="21">
                  <c:v>17/4</c:v>
                </c:pt>
              </c:strCache>
            </c:strRef>
          </c:cat>
          <c:val>
            <c:numRef>
              <c:f>Training!$G$24:$G$45</c:f>
              <c:numCache>
                <c:formatCode>0.0</c:formatCode>
                <c:ptCount val="22"/>
                <c:pt idx="0">
                  <c:v>7.55</c:v>
                </c:pt>
                <c:pt idx="1">
                  <c:v>7.1999999999999993</c:v>
                </c:pt>
                <c:pt idx="2">
                  <c:v>7.05</c:v>
                </c:pt>
                <c:pt idx="3">
                  <c:v>7</c:v>
                </c:pt>
                <c:pt idx="4">
                  <c:v>6.75</c:v>
                </c:pt>
                <c:pt idx="5">
                  <c:v>9.85</c:v>
                </c:pt>
                <c:pt idx="6">
                  <c:v>9.8000000000000007</c:v>
                </c:pt>
                <c:pt idx="7">
                  <c:v>9.5</c:v>
                </c:pt>
                <c:pt idx="8">
                  <c:v>9.1999999999999993</c:v>
                </c:pt>
                <c:pt idx="9">
                  <c:v>13.5</c:v>
                </c:pt>
                <c:pt idx="10">
                  <c:v>13.25</c:v>
                </c:pt>
                <c:pt idx="11">
                  <c:v>13</c:v>
                </c:pt>
                <c:pt idx="12">
                  <c:v>13.5</c:v>
                </c:pt>
                <c:pt idx="13">
                  <c:v>15</c:v>
                </c:pt>
                <c:pt idx="14">
                  <c:v>15.25</c:v>
                </c:pt>
                <c:pt idx="15">
                  <c:v>15.25</c:v>
                </c:pt>
                <c:pt idx="16">
                  <c:v>15.75</c:v>
                </c:pt>
                <c:pt idx="17">
                  <c:v>16</c:v>
                </c:pt>
                <c:pt idx="18">
                  <c:v>15.55</c:v>
                </c:pt>
                <c:pt idx="19">
                  <c:v>16.2</c:v>
                </c:pt>
                <c:pt idx="20">
                  <c:v>16.75</c:v>
                </c:pt>
                <c:pt idx="21">
                  <c:v>17.25</c:v>
                </c:pt>
              </c:numCache>
            </c:numRef>
          </c:val>
          <c:smooth val="0"/>
          <c:extLst>
            <c:ext xmlns:c16="http://schemas.microsoft.com/office/drawing/2014/chart" uri="{C3380CC4-5D6E-409C-BE32-E72D297353CC}">
              <c16:uniqueId val="{00000002-89C0-4039-9F6B-6120FFC4DFF2}"/>
            </c:ext>
          </c:extLst>
        </c:ser>
        <c:ser>
          <c:idx val="4"/>
          <c:order val="3"/>
          <c:tx>
            <c:strRef>
              <c:f>Training!$H$23</c:f>
              <c:strCache>
                <c:ptCount val="1"/>
                <c:pt idx="0">
                  <c:v>Running time+</c:v>
                </c:pt>
              </c:strCache>
            </c:strRef>
          </c:tx>
          <c:marker>
            <c:symbol val="none"/>
          </c:marker>
          <c:cat>
            <c:strRef>
              <c:f>Training!$D$24:$D$45</c:f>
              <c:strCache>
                <c:ptCount val="22"/>
                <c:pt idx="0">
                  <c:v>2/2/18</c:v>
                </c:pt>
                <c:pt idx="1">
                  <c:v>6/2</c:v>
                </c:pt>
                <c:pt idx="2">
                  <c:v>9/2</c:v>
                </c:pt>
                <c:pt idx="3">
                  <c:v>13/2</c:v>
                </c:pt>
                <c:pt idx="4">
                  <c:v>16/2</c:v>
                </c:pt>
                <c:pt idx="5">
                  <c:v>20/2</c:v>
                </c:pt>
                <c:pt idx="6">
                  <c:v>23/2</c:v>
                </c:pt>
                <c:pt idx="7">
                  <c:v>30/2</c:v>
                </c:pt>
                <c:pt idx="8">
                  <c:v>2/3</c:v>
                </c:pt>
                <c:pt idx="9">
                  <c:v>6/3</c:v>
                </c:pt>
                <c:pt idx="10">
                  <c:v>9/3</c:v>
                </c:pt>
                <c:pt idx="11">
                  <c:v>13/3</c:v>
                </c:pt>
                <c:pt idx="12">
                  <c:v>16/3</c:v>
                </c:pt>
                <c:pt idx="13">
                  <c:v>20/3</c:v>
                </c:pt>
                <c:pt idx="14">
                  <c:v>23/3</c:v>
                </c:pt>
                <c:pt idx="15">
                  <c:v>27/3</c:v>
                </c:pt>
                <c:pt idx="16">
                  <c:v>30/3</c:v>
                </c:pt>
                <c:pt idx="17">
                  <c:v>3/4</c:v>
                </c:pt>
                <c:pt idx="18">
                  <c:v>6/4</c:v>
                </c:pt>
                <c:pt idx="19">
                  <c:v>10/4</c:v>
                </c:pt>
                <c:pt idx="20">
                  <c:v>13/4</c:v>
                </c:pt>
                <c:pt idx="21">
                  <c:v>17/4</c:v>
                </c:pt>
              </c:strCache>
            </c:strRef>
          </c:cat>
          <c:val>
            <c:numRef>
              <c:f>Training!$H$24:$H$45</c:f>
              <c:numCache>
                <c:formatCode>0.0</c:formatCode>
                <c:ptCount val="22"/>
                <c:pt idx="0">
                  <c:v>4.5</c:v>
                </c:pt>
                <c:pt idx="1">
                  <c:v>4.5</c:v>
                </c:pt>
                <c:pt idx="2">
                  <c:v>5</c:v>
                </c:pt>
                <c:pt idx="3">
                  <c:v>4.75</c:v>
                </c:pt>
                <c:pt idx="4">
                  <c:v>4.75</c:v>
                </c:pt>
                <c:pt idx="5">
                  <c:v>6.75</c:v>
                </c:pt>
                <c:pt idx="6">
                  <c:v>7</c:v>
                </c:pt>
                <c:pt idx="7">
                  <c:v>7</c:v>
                </c:pt>
                <c:pt idx="8">
                  <c:v>7.25</c:v>
                </c:pt>
                <c:pt idx="9">
                  <c:v>10.5</c:v>
                </c:pt>
                <c:pt idx="10">
                  <c:v>10.25</c:v>
                </c:pt>
                <c:pt idx="11">
                  <c:v>10</c:v>
                </c:pt>
                <c:pt idx="12">
                  <c:v>10.5</c:v>
                </c:pt>
                <c:pt idx="13">
                  <c:v>11.5</c:v>
                </c:pt>
                <c:pt idx="14">
                  <c:v>11.75</c:v>
                </c:pt>
                <c:pt idx="15">
                  <c:v>12.25</c:v>
                </c:pt>
                <c:pt idx="16">
                  <c:v>12.75</c:v>
                </c:pt>
                <c:pt idx="17">
                  <c:v>13</c:v>
                </c:pt>
                <c:pt idx="18">
                  <c:v>13</c:v>
                </c:pt>
                <c:pt idx="19">
                  <c:v>13.5</c:v>
                </c:pt>
                <c:pt idx="20">
                  <c:v>14</c:v>
                </c:pt>
                <c:pt idx="21">
                  <c:v>14.5</c:v>
                </c:pt>
              </c:numCache>
            </c:numRef>
          </c:val>
          <c:smooth val="0"/>
          <c:extLst>
            <c:ext xmlns:c16="http://schemas.microsoft.com/office/drawing/2014/chart" uri="{C3380CC4-5D6E-409C-BE32-E72D297353CC}">
              <c16:uniqueId val="{00000003-89C0-4039-9F6B-6120FFC4DFF2}"/>
            </c:ext>
          </c:extLst>
        </c:ser>
        <c:ser>
          <c:idx val="5"/>
          <c:order val="4"/>
          <c:tx>
            <c:strRef>
              <c:f>Training!$I$23</c:f>
              <c:strCache>
                <c:ptCount val="1"/>
                <c:pt idx="0">
                  <c:v>kph+</c:v>
                </c:pt>
              </c:strCache>
            </c:strRef>
          </c:tx>
          <c:marker>
            <c:symbol val="none"/>
          </c:marker>
          <c:cat>
            <c:strRef>
              <c:f>Training!$D$24:$D$45</c:f>
              <c:strCache>
                <c:ptCount val="22"/>
                <c:pt idx="0">
                  <c:v>2/2/18</c:v>
                </c:pt>
                <c:pt idx="1">
                  <c:v>6/2</c:v>
                </c:pt>
                <c:pt idx="2">
                  <c:v>9/2</c:v>
                </c:pt>
                <c:pt idx="3">
                  <c:v>13/2</c:v>
                </c:pt>
                <c:pt idx="4">
                  <c:v>16/2</c:v>
                </c:pt>
                <c:pt idx="5">
                  <c:v>20/2</c:v>
                </c:pt>
                <c:pt idx="6">
                  <c:v>23/2</c:v>
                </c:pt>
                <c:pt idx="7">
                  <c:v>30/2</c:v>
                </c:pt>
                <c:pt idx="8">
                  <c:v>2/3</c:v>
                </c:pt>
                <c:pt idx="9">
                  <c:v>6/3</c:v>
                </c:pt>
                <c:pt idx="10">
                  <c:v>9/3</c:v>
                </c:pt>
                <c:pt idx="11">
                  <c:v>13/3</c:v>
                </c:pt>
                <c:pt idx="12">
                  <c:v>16/3</c:v>
                </c:pt>
                <c:pt idx="13">
                  <c:v>20/3</c:v>
                </c:pt>
                <c:pt idx="14">
                  <c:v>23/3</c:v>
                </c:pt>
                <c:pt idx="15">
                  <c:v>27/3</c:v>
                </c:pt>
                <c:pt idx="16">
                  <c:v>30/3</c:v>
                </c:pt>
                <c:pt idx="17">
                  <c:v>3/4</c:v>
                </c:pt>
                <c:pt idx="18">
                  <c:v>6/4</c:v>
                </c:pt>
                <c:pt idx="19">
                  <c:v>10/4</c:v>
                </c:pt>
                <c:pt idx="20">
                  <c:v>13/4</c:v>
                </c:pt>
                <c:pt idx="21">
                  <c:v>17/4</c:v>
                </c:pt>
              </c:strCache>
            </c:strRef>
          </c:cat>
          <c:val>
            <c:numRef>
              <c:f>Training!$I$24:$I$45</c:f>
              <c:numCache>
                <c:formatCode>0.0</c:formatCode>
                <c:ptCount val="22"/>
                <c:pt idx="0">
                  <c:v>8.741721854304636</c:v>
                </c:pt>
                <c:pt idx="1">
                  <c:v>9.1666666666666679</c:v>
                </c:pt>
                <c:pt idx="2">
                  <c:v>9.3617021276595747</c:v>
                </c:pt>
                <c:pt idx="3">
                  <c:v>9.4285714285714288</c:v>
                </c:pt>
                <c:pt idx="4">
                  <c:v>9.7777777777777786</c:v>
                </c:pt>
                <c:pt idx="5">
                  <c:v>9.4416243654822338</c:v>
                </c:pt>
                <c:pt idx="6">
                  <c:v>9.4897959183673457</c:v>
                </c:pt>
                <c:pt idx="7">
                  <c:v>9.7894736842105257</c:v>
                </c:pt>
                <c:pt idx="8">
                  <c:v>10.108695652173914</c:v>
                </c:pt>
                <c:pt idx="9">
                  <c:v>9.7777777777777786</c:v>
                </c:pt>
                <c:pt idx="10">
                  <c:v>9.9622641509433958</c:v>
                </c:pt>
                <c:pt idx="11">
                  <c:v>10.153846153846153</c:v>
                </c:pt>
                <c:pt idx="12">
                  <c:v>9.7777777777777786</c:v>
                </c:pt>
                <c:pt idx="13">
                  <c:v>10.600000000000001</c:v>
                </c:pt>
                <c:pt idx="14">
                  <c:v>10.426229508196723</c:v>
                </c:pt>
                <c:pt idx="15">
                  <c:v>10.426229508196723</c:v>
                </c:pt>
                <c:pt idx="16">
                  <c:v>10.095238095238097</c:v>
                </c:pt>
                <c:pt idx="17">
                  <c:v>9.9375000000000018</c:v>
                </c:pt>
                <c:pt idx="18">
                  <c:v>10.225080385852092</c:v>
                </c:pt>
                <c:pt idx="19">
                  <c:v>9.8148148148148167</c:v>
                </c:pt>
                <c:pt idx="20">
                  <c:v>11.104477611940299</c:v>
                </c:pt>
                <c:pt idx="21">
                  <c:v>10.782608695652174</c:v>
                </c:pt>
              </c:numCache>
            </c:numRef>
          </c:val>
          <c:smooth val="0"/>
          <c:extLst>
            <c:ext xmlns:c16="http://schemas.microsoft.com/office/drawing/2014/chart" uri="{C3380CC4-5D6E-409C-BE32-E72D297353CC}">
              <c16:uniqueId val="{00000004-89C0-4039-9F6B-6120FFC4DFF2}"/>
            </c:ext>
          </c:extLst>
        </c:ser>
        <c:dLbls>
          <c:showLegendKey val="0"/>
          <c:showVal val="0"/>
          <c:showCatName val="0"/>
          <c:showSerName val="0"/>
          <c:showPercent val="0"/>
          <c:showBubbleSize val="0"/>
        </c:dLbls>
        <c:marker val="1"/>
        <c:smooth val="0"/>
        <c:axId val="163284480"/>
        <c:axId val="163286016"/>
        <c:extLst/>
      </c:lineChart>
      <c:catAx>
        <c:axId val="163284480"/>
        <c:scaling>
          <c:orientation val="minMax"/>
        </c:scaling>
        <c:delete val="0"/>
        <c:axPos val="b"/>
        <c:numFmt formatCode="General" sourceLinked="0"/>
        <c:majorTickMark val="out"/>
        <c:minorTickMark val="none"/>
        <c:tickLblPos val="nextTo"/>
        <c:txPr>
          <a:bodyPr rot="5400000" vert="horz"/>
          <a:lstStyle/>
          <a:p>
            <a:pPr>
              <a:defRPr/>
            </a:pPr>
            <a:endParaRPr lang="en-US"/>
          </a:p>
        </c:txPr>
        <c:crossAx val="163286016"/>
        <c:crosses val="autoZero"/>
        <c:auto val="1"/>
        <c:lblAlgn val="ctr"/>
        <c:lblOffset val="100"/>
        <c:noMultiLvlLbl val="0"/>
      </c:catAx>
      <c:valAx>
        <c:axId val="163286016"/>
        <c:scaling>
          <c:orientation val="minMax"/>
        </c:scaling>
        <c:delete val="0"/>
        <c:axPos val="l"/>
        <c:majorGridlines/>
        <c:numFmt formatCode="0.00" sourceLinked="1"/>
        <c:majorTickMark val="out"/>
        <c:minorTickMark val="none"/>
        <c:tickLblPos val="nextTo"/>
        <c:crossAx val="163284480"/>
        <c:crosses val="autoZero"/>
        <c:crossBetween val="between"/>
        <c:majorUnit val="5"/>
      </c:valAx>
      <c:valAx>
        <c:axId val="1892632320"/>
        <c:scaling>
          <c:orientation val="minMax"/>
          <c:max val="4"/>
        </c:scaling>
        <c:delete val="0"/>
        <c:axPos val="r"/>
        <c:numFmt formatCode="@" sourceLinked="1"/>
        <c:majorTickMark val="out"/>
        <c:minorTickMark val="none"/>
        <c:tickLblPos val="nextTo"/>
        <c:crossAx val="1849954896"/>
        <c:crosses val="max"/>
        <c:crossBetween val="between"/>
        <c:majorUnit val="1"/>
      </c:valAx>
      <c:catAx>
        <c:axId val="1849954896"/>
        <c:scaling>
          <c:orientation val="minMax"/>
        </c:scaling>
        <c:delete val="1"/>
        <c:axPos val="b"/>
        <c:numFmt formatCode="General" sourceLinked="1"/>
        <c:majorTickMark val="out"/>
        <c:minorTickMark val="none"/>
        <c:tickLblPos val="nextTo"/>
        <c:crossAx val="1892632320"/>
        <c:crosses val="autoZero"/>
        <c:auto val="1"/>
        <c:lblAlgn val="ctr"/>
        <c:lblOffset val="100"/>
        <c:noMultiLvlLbl val="0"/>
      </c:catAx>
    </c:plotArea>
    <c:legend>
      <c:legendPos val="r"/>
      <c:layout>
        <c:manualLayout>
          <c:xMode val="edge"/>
          <c:yMode val="edge"/>
          <c:x val="3.4916666666666644E-2"/>
          <c:y val="3.971572104817455E-2"/>
          <c:w val="0.92603322925334719"/>
          <c:h val="7.032076923300809E-2"/>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95250</xdr:colOff>
      <xdr:row>0</xdr:row>
      <xdr:rowOff>166689</xdr:rowOff>
    </xdr:from>
    <xdr:to>
      <xdr:col>33</xdr:col>
      <xdr:colOff>130969</xdr:colOff>
      <xdr:row>20</xdr:row>
      <xdr:rowOff>119064</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13</xdr:col>
      <xdr:colOff>0</xdr:colOff>
      <xdr:row>2</xdr:row>
      <xdr:rowOff>0</xdr:rowOff>
    </xdr:from>
    <xdr:to>
      <xdr:col>22</xdr:col>
      <xdr:colOff>247650</xdr:colOff>
      <xdr:row>26</xdr:row>
      <xdr:rowOff>104775</xdr:rowOff>
    </xdr:to>
    <xdr:pic>
      <xdr:nvPicPr>
        <xdr:cNvPr id="617475" name="Picture 3">
          <a:extLst>
            <a:ext uri="{FF2B5EF4-FFF2-40B4-BE49-F238E27FC236}">
              <a16:creationId xmlns:a16="http://schemas.microsoft.com/office/drawing/2014/main" id="{00000000-0008-0000-0100-0000036C09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058025" y="323850"/>
          <a:ext cx="3914775" cy="5105400"/>
        </a:xfrm>
        <a:prstGeom prst="rect">
          <a:avLst/>
        </a:prstGeom>
        <a:noFill/>
        <a:ln w="1">
          <a:noFill/>
          <a:miter lim="800000"/>
          <a:headEnd/>
          <a:tailEnd type="none" w="med" len="med"/>
        </a:ln>
        <a:effectLst/>
      </xdr:spPr>
    </xdr:pic>
    <xdr:clientData/>
  </xdr:twoCellAnchor>
  <mc:AlternateContent xmlns:mc="http://schemas.openxmlformats.org/markup-compatibility/2006">
    <mc:Choice xmlns:a14="http://schemas.microsoft.com/office/drawing/2010/main" Requires="a14">
      <xdr:twoCellAnchor>
        <xdr:from>
          <xdr:col>8</xdr:col>
          <xdr:colOff>0</xdr:colOff>
          <xdr:row>0</xdr:row>
          <xdr:rowOff>0</xdr:rowOff>
        </xdr:from>
        <xdr:to>
          <xdr:col>8</xdr:col>
          <xdr:colOff>342900</xdr:colOff>
          <xdr:row>0</xdr:row>
          <xdr:rowOff>0</xdr:rowOff>
        </xdr:to>
        <xdr:sp macro="" textlink="">
          <xdr:nvSpPr>
            <xdr:cNvPr id="617473" name="Button 1" hidden="1">
              <a:extLst>
                <a:ext uri="{63B3BB69-23CF-44E3-9099-C40C66FF867C}">
                  <a14:compatExt spid="_x0000_s617473"/>
                </a:ext>
                <a:ext uri="{FF2B5EF4-FFF2-40B4-BE49-F238E27FC236}">
                  <a16:creationId xmlns:a16="http://schemas.microsoft.com/office/drawing/2014/main" id="{00000000-0008-0000-0100-0000016C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Add 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8</xdr:col>
          <xdr:colOff>342900</xdr:colOff>
          <xdr:row>0</xdr:row>
          <xdr:rowOff>0</xdr:rowOff>
        </xdr:to>
        <xdr:sp macro="" textlink="">
          <xdr:nvSpPr>
            <xdr:cNvPr id="617474" name="Button 2" hidden="1">
              <a:extLst>
                <a:ext uri="{63B3BB69-23CF-44E3-9099-C40C66FF867C}">
                  <a14:compatExt spid="_x0000_s617474"/>
                </a:ext>
                <a:ext uri="{FF2B5EF4-FFF2-40B4-BE49-F238E27FC236}">
                  <a16:creationId xmlns:a16="http://schemas.microsoft.com/office/drawing/2014/main" id="{00000000-0008-0000-0100-0000026C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Add New line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ve/Documents/gp%20record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lts"/>
      <sheetName val="GPPAQ"/>
    </sheetNames>
    <sheetDataSet>
      <sheetData sheetId="0"/>
      <sheetData sheetId="1">
        <row r="12">
          <cell r="J12">
            <v>1</v>
          </cell>
        </row>
        <row r="24">
          <cell r="I24">
            <v>2</v>
          </cell>
          <cell r="K24">
            <v>3</v>
          </cell>
          <cell r="L24">
            <v>4</v>
          </cell>
          <cell r="M24">
            <v>2</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1000000}" name="Table261014" displayName="Table261014" ref="C23:C46" totalsRowCount="1" headerRowBorderDxfId="14">
  <autoFilter ref="C23:C45" xr:uid="{00000000-0009-0000-0100-00000D000000}"/>
  <tableColumns count="1">
    <tableColumn id="6" xr3:uid="{00000000-0010-0000-0100-000006000000}" name="Column2" dataDxfId="13" totalsRowDxfId="12">
      <calculatedColumnFormula>IF(F24=F25,"",ROW()-SUM($C$23:$C23)-23)</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2000000}" name="Table371115" displayName="Table371115" ref="D23:I45" totalsRowShown="0">
  <autoFilter ref="D23:I45" xr:uid="{00000000-0009-0000-0100-00000E000000}"/>
  <tableColumns count="6">
    <tableColumn id="1" xr3:uid="{00000000-0010-0000-0200-000001000000}" name="Date" dataDxfId="11"/>
    <tableColumn id="2" xr3:uid="{00000000-0010-0000-0200-000002000000}" name="Cramp" dataDxfId="10"/>
    <tableColumn id="3" xr3:uid="{00000000-0010-0000-0200-000003000000}" name="Distance" dataDxfId="9"/>
    <tableColumn id="4" xr3:uid="{00000000-0010-0000-0200-000004000000}" name="DTime" dataDxfId="8">
      <calculatedColumnFormula>SUM(K24:AC24)</calculatedColumnFormula>
    </tableColumn>
    <tableColumn id="6" xr3:uid="{00000000-0010-0000-0200-000006000000}" name="Running time+" dataDxfId="7">
      <calculatedColumnFormula>L24+N24+P24+R24+T24+V24+X24+Z24+AB24</calculatedColumnFormula>
    </tableColumn>
    <tableColumn id="7" xr3:uid="{00000000-0010-0000-0200-000007000000}" name="kph+" dataDxfId="6">
      <calculatedColumnFormula>60*F24/G24</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outlinePr summaryBelow="0" summaryRight="0"/>
  </sheetPr>
  <dimension ref="A1:AK46"/>
  <sheetViews>
    <sheetView tabSelected="1" zoomScale="70" zoomScaleNormal="70" workbookViewId="0">
      <pane ySplit="23" topLeftCell="A24" activePane="bottomLeft" state="frozen"/>
      <selection activeCell="O1" sqref="O1"/>
      <selection pane="bottomLeft" activeCell="R43" sqref="R43"/>
    </sheetView>
  </sheetViews>
  <sheetFormatPr defaultRowHeight="12.75" x14ac:dyDescent="0.2"/>
  <cols>
    <col min="1" max="1" width="7.28515625" style="97" customWidth="1"/>
    <col min="2" max="2" width="6" style="105" customWidth="1"/>
    <col min="3" max="3" width="6" style="29" customWidth="1"/>
    <col min="4" max="4" width="7.7109375" style="30" customWidth="1"/>
    <col min="5" max="5" width="2.28515625" style="30" customWidth="1"/>
    <col min="6" max="6" width="5.7109375" style="109" customWidth="1"/>
    <col min="7" max="7" width="6.42578125" style="49" customWidth="1"/>
    <col min="8" max="8" width="9.5703125" style="51" customWidth="1"/>
    <col min="9" max="9" width="7.140625" style="54" customWidth="1"/>
    <col min="10" max="10" width="6.28515625" style="41" customWidth="1"/>
    <col min="11" max="11" width="4.5703125" style="42" customWidth="1"/>
    <col min="12" max="12" width="4.5703125" style="56" customWidth="1"/>
    <col min="13" max="13" width="6.140625" style="42" customWidth="1"/>
    <col min="14" max="14" width="4.5703125" style="56" customWidth="1"/>
    <col min="15" max="15" width="6.5703125" style="42" customWidth="1"/>
    <col min="16" max="16" width="4.5703125" style="56" customWidth="1"/>
    <col min="17" max="17" width="6" style="42" customWidth="1"/>
    <col min="18" max="18" width="4.5703125" style="56" customWidth="1"/>
    <col min="19" max="19" width="4.5703125" style="42" customWidth="1"/>
    <col min="20" max="20" width="4.5703125" style="56" customWidth="1"/>
    <col min="21" max="21" width="4.5703125" style="42" customWidth="1"/>
    <col min="22" max="22" width="4.5703125" style="56" customWidth="1"/>
    <col min="23" max="23" width="4.5703125" style="42" customWidth="1"/>
    <col min="24" max="24" width="4.5703125" style="56" customWidth="1"/>
    <col min="25" max="25" width="4.5703125" style="42" customWidth="1"/>
    <col min="26" max="26" width="4.5703125" style="56" customWidth="1"/>
    <col min="27" max="27" width="4.5703125" style="42" customWidth="1"/>
    <col min="28" max="28" width="4.5703125" style="56" customWidth="1"/>
    <col min="29" max="29" width="4.5703125" style="42" customWidth="1"/>
    <col min="30" max="30" width="9.85546875" style="90" customWidth="1"/>
    <col min="31" max="31" width="14.7109375" style="93" customWidth="1"/>
    <col min="32" max="32" width="20.42578125" customWidth="1"/>
    <col min="33" max="33" width="29.85546875" customWidth="1"/>
    <col min="34" max="34" width="9.7109375" style="44" customWidth="1"/>
    <col min="35" max="37" width="4.42578125" style="78" customWidth="1"/>
  </cols>
  <sheetData>
    <row r="1" spans="1:37" s="34" customFormat="1" ht="15" x14ac:dyDescent="0.25">
      <c r="A1" s="96"/>
      <c r="B1" s="86"/>
      <c r="C1" s="35" t="s">
        <v>63</v>
      </c>
      <c r="D1" s="94"/>
      <c r="E1" s="94"/>
      <c r="F1" s="106"/>
      <c r="G1" s="94"/>
      <c r="H1" s="94" t="s">
        <v>144</v>
      </c>
      <c r="I1" s="94"/>
      <c r="J1" s="77"/>
      <c r="K1" s="84"/>
      <c r="L1" s="83" t="s">
        <v>145</v>
      </c>
      <c r="M1" s="95">
        <v>1.1000000000000001</v>
      </c>
      <c r="N1" s="110"/>
      <c r="O1" s="95"/>
      <c r="P1" s="110" t="s">
        <v>141</v>
      </c>
      <c r="Q1" s="95">
        <v>1.55</v>
      </c>
      <c r="R1" s="57"/>
      <c r="S1" s="77"/>
      <c r="T1" s="57"/>
      <c r="U1" s="77"/>
      <c r="V1" s="57"/>
      <c r="W1" s="77"/>
      <c r="X1" s="57"/>
      <c r="Y1" s="77"/>
      <c r="Z1" s="57"/>
      <c r="AA1" s="77"/>
      <c r="AB1" s="57"/>
      <c r="AC1" s="77"/>
      <c r="AD1" s="46"/>
      <c r="AE1" s="85"/>
      <c r="AF1" s="77" t="s">
        <v>91</v>
      </c>
      <c r="AH1" s="43"/>
      <c r="AI1" s="78"/>
      <c r="AJ1" s="78"/>
      <c r="AK1" s="78"/>
    </row>
    <row r="2" spans="1:37" s="29" customFormat="1" ht="35.25" customHeight="1" x14ac:dyDescent="0.2">
      <c r="A2" s="97"/>
      <c r="B2" s="98"/>
      <c r="D2" s="33"/>
      <c r="E2" s="37" t="s">
        <v>64</v>
      </c>
      <c r="F2" s="107"/>
      <c r="G2" s="48"/>
      <c r="H2" s="50"/>
      <c r="I2" s="52"/>
      <c r="J2" s="39"/>
      <c r="K2" s="42"/>
      <c r="L2" s="56"/>
      <c r="M2" s="42"/>
      <c r="N2" s="56"/>
      <c r="O2" s="42"/>
      <c r="P2" s="56"/>
      <c r="Q2" s="42"/>
      <c r="R2" s="56"/>
      <c r="S2" s="42"/>
      <c r="T2" s="56"/>
      <c r="U2" s="42"/>
      <c r="V2" s="56"/>
      <c r="W2" s="42"/>
      <c r="X2" s="56"/>
      <c r="Y2" s="42"/>
      <c r="Z2" s="56"/>
      <c r="AA2" s="42"/>
      <c r="AB2" s="56"/>
      <c r="AC2" s="42"/>
      <c r="AD2" s="88"/>
      <c r="AE2" s="91"/>
      <c r="AH2" s="44"/>
      <c r="AI2" s="78"/>
      <c r="AJ2" s="78"/>
      <c r="AK2" s="78"/>
    </row>
    <row r="3" spans="1:37" s="29" customFormat="1" x14ac:dyDescent="0.2">
      <c r="A3" s="97"/>
      <c r="B3" s="98"/>
      <c r="D3" s="33"/>
      <c r="E3" s="33"/>
      <c r="F3" s="107"/>
      <c r="G3" s="48"/>
      <c r="H3" s="50"/>
      <c r="I3" s="52"/>
      <c r="J3" s="39"/>
      <c r="K3" s="42"/>
      <c r="L3" s="56"/>
      <c r="M3" s="42"/>
      <c r="N3" s="56"/>
      <c r="O3" s="42"/>
      <c r="P3" s="56"/>
      <c r="Q3" s="42"/>
      <c r="R3" s="56"/>
      <c r="S3" s="42"/>
      <c r="T3" s="56"/>
      <c r="U3" s="42"/>
      <c r="V3" s="56"/>
      <c r="W3" s="42"/>
      <c r="X3" s="56"/>
      <c r="Y3" s="42"/>
      <c r="Z3" s="56"/>
      <c r="AA3" s="42"/>
      <c r="AB3" s="56"/>
      <c r="AC3" s="42"/>
      <c r="AD3" s="88"/>
      <c r="AE3" s="91"/>
      <c r="AH3" s="44"/>
      <c r="AI3" s="78"/>
      <c r="AJ3" s="78"/>
      <c r="AK3" s="78"/>
    </row>
    <row r="4" spans="1:37" s="29" customFormat="1" x14ac:dyDescent="0.2">
      <c r="A4" s="97"/>
      <c r="B4" s="98"/>
      <c r="D4" s="33"/>
      <c r="E4" s="33"/>
      <c r="F4" s="107"/>
      <c r="G4" s="48"/>
      <c r="H4" s="50"/>
      <c r="I4" s="52"/>
      <c r="J4" s="39"/>
      <c r="K4" s="42"/>
      <c r="L4" s="56"/>
      <c r="M4" s="42"/>
      <c r="N4" s="56"/>
      <c r="O4" s="42"/>
      <c r="P4" s="56"/>
      <c r="Q4" s="42"/>
      <c r="R4" s="56"/>
      <c r="S4" s="42"/>
      <c r="T4" s="56"/>
      <c r="U4" s="42"/>
      <c r="V4" s="56"/>
      <c r="W4" s="42"/>
      <c r="X4" s="56"/>
      <c r="Y4" s="42"/>
      <c r="Z4" s="56"/>
      <c r="AA4" s="42"/>
      <c r="AB4" s="56"/>
      <c r="AC4" s="42"/>
      <c r="AD4" s="88"/>
      <c r="AE4" s="91"/>
      <c r="AH4" s="44"/>
      <c r="AI4" s="78"/>
      <c r="AJ4" s="78"/>
      <c r="AK4" s="78"/>
    </row>
    <row r="5" spans="1:37" s="29" customFormat="1" hidden="1" x14ac:dyDescent="0.2">
      <c r="A5" s="97"/>
      <c r="B5" s="98"/>
      <c r="D5" s="33"/>
      <c r="E5" s="33"/>
      <c r="F5" s="107"/>
      <c r="G5" s="48"/>
      <c r="H5" s="50"/>
      <c r="I5" s="52"/>
      <c r="J5" s="39"/>
      <c r="K5" s="42"/>
      <c r="L5" s="56"/>
      <c r="M5" s="42"/>
      <c r="N5" s="56"/>
      <c r="O5" s="42"/>
      <c r="P5" s="56"/>
      <c r="Q5" s="42"/>
      <c r="R5" s="56"/>
      <c r="S5" s="42"/>
      <c r="T5" s="56"/>
      <c r="U5" s="42"/>
      <c r="V5" s="56"/>
      <c r="W5" s="42"/>
      <c r="X5" s="56"/>
      <c r="Y5" s="42"/>
      <c r="Z5" s="56"/>
      <c r="AA5" s="42"/>
      <c r="AB5" s="56"/>
      <c r="AC5" s="42"/>
      <c r="AD5" s="88"/>
      <c r="AE5" s="91"/>
      <c r="AH5" s="44"/>
      <c r="AI5" s="78"/>
      <c r="AJ5" s="78"/>
      <c r="AK5" s="78"/>
    </row>
    <row r="6" spans="1:37" s="29" customFormat="1" hidden="1" x14ac:dyDescent="0.2">
      <c r="A6" s="97"/>
      <c r="B6" s="98"/>
      <c r="D6" s="33"/>
      <c r="E6" s="33"/>
      <c r="F6" s="107"/>
      <c r="G6" s="48"/>
      <c r="H6" s="50"/>
      <c r="I6" s="52"/>
      <c r="J6" s="39"/>
      <c r="K6" s="42"/>
      <c r="L6" s="56"/>
      <c r="M6" s="42"/>
      <c r="N6" s="56"/>
      <c r="O6" s="42"/>
      <c r="P6" s="56"/>
      <c r="Q6" s="42"/>
      <c r="R6" s="56"/>
      <c r="S6" s="42"/>
      <c r="T6" s="56"/>
      <c r="U6" s="42"/>
      <c r="V6" s="56"/>
      <c r="W6" s="42"/>
      <c r="X6" s="56"/>
      <c r="Y6" s="42"/>
      <c r="Z6" s="56"/>
      <c r="AA6" s="42"/>
      <c r="AB6" s="56"/>
      <c r="AC6" s="42"/>
      <c r="AD6" s="88"/>
      <c r="AE6" s="91"/>
      <c r="AH6" s="44"/>
      <c r="AI6" s="78"/>
      <c r="AJ6" s="78"/>
      <c r="AK6" s="78"/>
    </row>
    <row r="7" spans="1:37" s="29" customFormat="1" hidden="1" x14ac:dyDescent="0.2">
      <c r="A7" s="97"/>
      <c r="B7" s="98"/>
      <c r="D7" s="33"/>
      <c r="E7" s="33"/>
      <c r="F7" s="107"/>
      <c r="G7" s="48"/>
      <c r="H7" s="50"/>
      <c r="I7" s="52"/>
      <c r="J7" s="39"/>
      <c r="K7" s="42"/>
      <c r="L7" s="56"/>
      <c r="M7" s="42"/>
      <c r="N7" s="56"/>
      <c r="O7" s="42"/>
      <c r="P7" s="56"/>
      <c r="Q7" s="42"/>
      <c r="R7" s="56"/>
      <c r="S7" s="42"/>
      <c r="T7" s="56"/>
      <c r="U7" s="42"/>
      <c r="V7" s="56"/>
      <c r="W7" s="42"/>
      <c r="X7" s="56"/>
      <c r="Y7" s="42"/>
      <c r="Z7" s="56"/>
      <c r="AA7" s="42"/>
      <c r="AB7" s="56"/>
      <c r="AC7" s="42"/>
      <c r="AD7" s="88"/>
      <c r="AE7" s="91"/>
      <c r="AH7" s="44"/>
      <c r="AI7" s="78"/>
      <c r="AJ7" s="78"/>
      <c r="AK7" s="78"/>
    </row>
    <row r="8" spans="1:37" s="29" customFormat="1" hidden="1" x14ac:dyDescent="0.2">
      <c r="A8" s="97"/>
      <c r="B8" s="98"/>
      <c r="D8" s="33"/>
      <c r="E8" s="33"/>
      <c r="F8" s="107"/>
      <c r="G8" s="48"/>
      <c r="H8" s="50"/>
      <c r="I8" s="52"/>
      <c r="J8" s="39"/>
      <c r="K8" s="42"/>
      <c r="L8" s="56"/>
      <c r="M8" s="42"/>
      <c r="N8" s="56"/>
      <c r="O8" s="42"/>
      <c r="P8" s="56"/>
      <c r="Q8" s="42"/>
      <c r="R8" s="56"/>
      <c r="S8" s="42"/>
      <c r="T8" s="56"/>
      <c r="U8" s="42"/>
      <c r="V8" s="56"/>
      <c r="W8" s="42"/>
      <c r="X8" s="56"/>
      <c r="Y8" s="42"/>
      <c r="Z8" s="56"/>
      <c r="AA8" s="42"/>
      <c r="AB8" s="56"/>
      <c r="AC8" s="42"/>
      <c r="AD8" s="88"/>
      <c r="AE8" s="91"/>
      <c r="AH8" s="44"/>
      <c r="AI8" s="78"/>
      <c r="AJ8" s="78"/>
      <c r="AK8" s="78"/>
    </row>
    <row r="9" spans="1:37" s="29" customFormat="1" hidden="1" x14ac:dyDescent="0.2">
      <c r="A9" s="97"/>
      <c r="B9" s="98"/>
      <c r="D9" s="33"/>
      <c r="E9" s="33"/>
      <c r="F9" s="107"/>
      <c r="G9" s="48"/>
      <c r="H9" s="50"/>
      <c r="I9" s="52"/>
      <c r="J9" s="39"/>
      <c r="K9" s="42"/>
      <c r="L9" s="56"/>
      <c r="M9" s="42"/>
      <c r="N9" s="56"/>
      <c r="O9" s="42"/>
      <c r="P9" s="56"/>
      <c r="Q9" s="42"/>
      <c r="R9" s="56"/>
      <c r="S9" s="42"/>
      <c r="T9" s="56"/>
      <c r="U9" s="42"/>
      <c r="V9" s="56"/>
      <c r="W9" s="42"/>
      <c r="X9" s="56"/>
      <c r="Y9" s="42"/>
      <c r="Z9" s="56"/>
      <c r="AA9" s="42"/>
      <c r="AB9" s="56"/>
      <c r="AC9" s="42"/>
      <c r="AD9" s="88"/>
      <c r="AE9" s="91"/>
      <c r="AH9" s="44"/>
      <c r="AI9" s="78"/>
      <c r="AJ9" s="78"/>
      <c r="AK9" s="78"/>
    </row>
    <row r="10" spans="1:37" s="29" customFormat="1" hidden="1" x14ac:dyDescent="0.2">
      <c r="A10" s="97"/>
      <c r="B10" s="98"/>
      <c r="D10" s="33"/>
      <c r="E10" s="33"/>
      <c r="F10" s="107"/>
      <c r="G10" s="48"/>
      <c r="H10" s="50"/>
      <c r="I10" s="52"/>
      <c r="J10" s="39"/>
      <c r="K10" s="42"/>
      <c r="L10" s="56"/>
      <c r="M10" s="42"/>
      <c r="N10" s="56"/>
      <c r="O10" s="42"/>
      <c r="P10" s="56"/>
      <c r="Q10" s="42"/>
      <c r="R10" s="56"/>
      <c r="S10" s="42"/>
      <c r="T10" s="56"/>
      <c r="U10" s="42"/>
      <c r="V10" s="56"/>
      <c r="W10" s="42"/>
      <c r="X10" s="56"/>
      <c r="Y10" s="42"/>
      <c r="Z10" s="56"/>
      <c r="AA10" s="42"/>
      <c r="AB10" s="56"/>
      <c r="AC10" s="42"/>
      <c r="AD10" s="88"/>
      <c r="AE10" s="91"/>
      <c r="AH10" s="44"/>
      <c r="AI10" s="78"/>
      <c r="AJ10" s="78"/>
      <c r="AK10" s="78"/>
    </row>
    <row r="11" spans="1:37" s="29" customFormat="1" hidden="1" x14ac:dyDescent="0.2">
      <c r="A11" s="97"/>
      <c r="B11" s="98"/>
      <c r="D11" s="33"/>
      <c r="E11" s="33"/>
      <c r="F11" s="107"/>
      <c r="G11" s="48"/>
      <c r="H11" s="50"/>
      <c r="I11" s="52"/>
      <c r="J11" s="39"/>
      <c r="K11" s="42"/>
      <c r="L11" s="56"/>
      <c r="M11" s="42"/>
      <c r="N11" s="56"/>
      <c r="O11" s="42"/>
      <c r="P11" s="56"/>
      <c r="Q11" s="42"/>
      <c r="R11" s="56"/>
      <c r="S11" s="42"/>
      <c r="T11" s="56"/>
      <c r="U11" s="42"/>
      <c r="V11" s="56"/>
      <c r="W11" s="42"/>
      <c r="X11" s="56"/>
      <c r="Y11" s="42"/>
      <c r="Z11" s="56"/>
      <c r="AA11" s="42"/>
      <c r="AB11" s="56"/>
      <c r="AC11" s="42"/>
      <c r="AD11" s="88"/>
      <c r="AE11" s="91"/>
      <c r="AH11" s="44"/>
      <c r="AI11" s="78"/>
      <c r="AJ11" s="78"/>
      <c r="AK11" s="78"/>
    </row>
    <row r="12" spans="1:37" s="29" customFormat="1" hidden="1" x14ac:dyDescent="0.2">
      <c r="A12" s="97"/>
      <c r="B12" s="98"/>
      <c r="D12" s="33"/>
      <c r="E12" s="33"/>
      <c r="F12" s="107"/>
      <c r="G12" s="48"/>
      <c r="H12" s="50"/>
      <c r="I12" s="52"/>
      <c r="J12" s="39"/>
      <c r="K12" s="42"/>
      <c r="L12" s="56"/>
      <c r="M12" s="42"/>
      <c r="N12" s="56"/>
      <c r="O12" s="42"/>
      <c r="P12" s="56"/>
      <c r="Q12" s="42"/>
      <c r="R12" s="56"/>
      <c r="S12" s="42"/>
      <c r="T12" s="56"/>
      <c r="U12" s="42"/>
      <c r="V12" s="56"/>
      <c r="W12" s="42"/>
      <c r="X12" s="56"/>
      <c r="Y12" s="42"/>
      <c r="Z12" s="56"/>
      <c r="AA12" s="42"/>
      <c r="AB12" s="56"/>
      <c r="AC12" s="42"/>
      <c r="AD12" s="88"/>
      <c r="AE12" s="91"/>
      <c r="AH12" s="44"/>
      <c r="AI12" s="78"/>
      <c r="AJ12" s="78"/>
      <c r="AK12" s="78"/>
    </row>
    <row r="13" spans="1:37" s="29" customFormat="1" hidden="1" x14ac:dyDescent="0.2">
      <c r="A13" s="97"/>
      <c r="B13" s="98"/>
      <c r="D13" s="33"/>
      <c r="E13" s="33"/>
      <c r="F13" s="107"/>
      <c r="G13" s="48"/>
      <c r="H13" s="50"/>
      <c r="I13" s="52"/>
      <c r="J13" s="39"/>
      <c r="K13" s="42"/>
      <c r="L13" s="56"/>
      <c r="M13" s="42"/>
      <c r="N13" s="56"/>
      <c r="O13" s="42"/>
      <c r="P13" s="56"/>
      <c r="Q13" s="42"/>
      <c r="R13" s="56"/>
      <c r="S13" s="42"/>
      <c r="T13" s="56"/>
      <c r="U13" s="42"/>
      <c r="V13" s="56"/>
      <c r="W13" s="42"/>
      <c r="X13" s="56"/>
      <c r="Y13" s="42"/>
      <c r="Z13" s="56"/>
      <c r="AA13" s="42"/>
      <c r="AB13" s="56"/>
      <c r="AC13" s="42"/>
      <c r="AD13" s="88"/>
      <c r="AE13" s="91"/>
      <c r="AH13" s="44"/>
      <c r="AI13" s="78"/>
      <c r="AJ13" s="78"/>
      <c r="AK13" s="78"/>
    </row>
    <row r="14" spans="1:37" s="29" customFormat="1" x14ac:dyDescent="0.2">
      <c r="A14" s="97"/>
      <c r="B14" s="98"/>
      <c r="D14" s="33"/>
      <c r="E14" s="33"/>
      <c r="F14" s="107"/>
      <c r="G14" s="48"/>
      <c r="H14" s="50"/>
      <c r="I14" s="52"/>
      <c r="J14" s="39"/>
      <c r="K14" s="42"/>
      <c r="L14" s="56"/>
      <c r="M14" s="42"/>
      <c r="N14" s="56"/>
      <c r="O14" s="42"/>
      <c r="P14" s="56"/>
      <c r="Q14" s="42"/>
      <c r="R14" s="56"/>
      <c r="S14" s="42"/>
      <c r="T14" s="56"/>
      <c r="U14" s="42"/>
      <c r="V14" s="56"/>
      <c r="W14" s="42"/>
      <c r="X14" s="56"/>
      <c r="Y14" s="42"/>
      <c r="Z14" s="56"/>
      <c r="AA14" s="42"/>
      <c r="AB14" s="56"/>
      <c r="AC14" s="42"/>
      <c r="AD14" s="88"/>
      <c r="AE14" s="91"/>
      <c r="AH14" s="44"/>
      <c r="AI14" s="78"/>
      <c r="AJ14" s="78"/>
      <c r="AK14" s="78"/>
    </row>
    <row r="15" spans="1:37" s="29" customFormat="1" x14ac:dyDescent="0.2">
      <c r="A15" s="97"/>
      <c r="B15" s="98"/>
      <c r="D15" s="33"/>
      <c r="E15" s="33"/>
      <c r="F15" s="107"/>
      <c r="G15" s="48"/>
      <c r="H15" s="50"/>
      <c r="I15" s="52"/>
      <c r="J15" s="39"/>
      <c r="K15" s="42"/>
      <c r="L15" s="56"/>
      <c r="M15" s="42"/>
      <c r="N15" s="56"/>
      <c r="O15" s="42"/>
      <c r="P15" s="56"/>
      <c r="Q15" s="42"/>
      <c r="R15" s="56"/>
      <c r="S15" s="42"/>
      <c r="T15" s="56"/>
      <c r="U15" s="42"/>
      <c r="V15" s="56"/>
      <c r="W15" s="42"/>
      <c r="X15" s="56"/>
      <c r="Y15" s="42"/>
      <c r="Z15" s="56"/>
      <c r="AA15" s="42"/>
      <c r="AB15" s="56"/>
      <c r="AC15" s="42"/>
      <c r="AD15" s="88"/>
      <c r="AE15" s="91"/>
      <c r="AH15" s="44"/>
      <c r="AI15" s="78"/>
      <c r="AJ15" s="78"/>
      <c r="AK15" s="78"/>
    </row>
    <row r="16" spans="1:37" s="29" customFormat="1" x14ac:dyDescent="0.2">
      <c r="A16" s="97"/>
      <c r="B16" s="98"/>
      <c r="D16" s="33"/>
      <c r="E16" s="33"/>
      <c r="F16" s="107"/>
      <c r="G16" s="48"/>
      <c r="H16" s="50"/>
      <c r="I16" s="52"/>
      <c r="J16" s="39"/>
      <c r="K16" s="42"/>
      <c r="L16" s="56"/>
      <c r="M16" s="42"/>
      <c r="N16" s="56"/>
      <c r="O16" s="42"/>
      <c r="P16" s="56"/>
      <c r="Q16" s="42"/>
      <c r="R16" s="56"/>
      <c r="S16" s="42"/>
      <c r="T16" s="56"/>
      <c r="U16" s="42"/>
      <c r="V16" s="56"/>
      <c r="W16" s="42"/>
      <c r="X16" s="56"/>
      <c r="Y16" s="42"/>
      <c r="Z16" s="56"/>
      <c r="AA16" s="42"/>
      <c r="AB16" s="56"/>
      <c r="AC16" s="42"/>
      <c r="AD16" s="88"/>
      <c r="AE16" s="91"/>
      <c r="AH16" s="44"/>
      <c r="AI16" s="78"/>
      <c r="AJ16" s="78"/>
      <c r="AK16" s="78"/>
    </row>
    <row r="17" spans="1:37" s="29" customFormat="1" x14ac:dyDescent="0.2">
      <c r="A17" s="97"/>
      <c r="B17" s="98"/>
      <c r="D17" s="33"/>
      <c r="E17" s="33"/>
      <c r="F17" s="107"/>
      <c r="G17" s="48"/>
      <c r="H17" s="50"/>
      <c r="I17" s="52"/>
      <c r="J17" s="39"/>
      <c r="K17" s="42"/>
      <c r="L17" s="56"/>
      <c r="M17" s="42"/>
      <c r="N17" s="56"/>
      <c r="O17" s="42"/>
      <c r="P17" s="56"/>
      <c r="Q17" s="42"/>
      <c r="R17" s="56"/>
      <c r="S17" s="42"/>
      <c r="T17" s="56"/>
      <c r="U17" s="42"/>
      <c r="V17" s="56"/>
      <c r="W17" s="42"/>
      <c r="X17" s="56"/>
      <c r="Y17" s="42"/>
      <c r="Z17" s="56"/>
      <c r="AA17" s="42"/>
      <c r="AB17" s="56"/>
      <c r="AC17" s="42"/>
      <c r="AD17" s="88"/>
      <c r="AE17" s="91"/>
      <c r="AH17" s="44"/>
      <c r="AI17" s="78"/>
      <c r="AJ17" s="78"/>
      <c r="AK17" s="78"/>
    </row>
    <row r="18" spans="1:37" s="29" customFormat="1" x14ac:dyDescent="0.2">
      <c r="A18" s="97"/>
      <c r="B18" s="98"/>
      <c r="D18" s="33"/>
      <c r="E18" s="33"/>
      <c r="F18" s="107"/>
      <c r="G18" s="48"/>
      <c r="H18" s="50"/>
      <c r="I18" s="52"/>
      <c r="J18" s="39"/>
      <c r="K18" s="42"/>
      <c r="L18" s="56"/>
      <c r="M18" s="42"/>
      <c r="N18" s="56"/>
      <c r="O18" s="42"/>
      <c r="P18" s="56"/>
      <c r="Q18" s="42"/>
      <c r="R18" s="56"/>
      <c r="S18" s="42"/>
      <c r="T18" s="56"/>
      <c r="U18" s="42"/>
      <c r="V18" s="56"/>
      <c r="W18" s="42"/>
      <c r="X18" s="56"/>
      <c r="Y18" s="42"/>
      <c r="Z18" s="56"/>
      <c r="AA18" s="42"/>
      <c r="AB18" s="56"/>
      <c r="AC18" s="42"/>
      <c r="AD18" s="88"/>
      <c r="AE18" s="91"/>
      <c r="AH18" s="44"/>
      <c r="AI18" s="78"/>
      <c r="AJ18" s="78"/>
      <c r="AK18" s="78"/>
    </row>
    <row r="19" spans="1:37" s="29" customFormat="1" x14ac:dyDescent="0.2">
      <c r="A19" s="97"/>
      <c r="B19" s="98"/>
      <c r="D19" s="33"/>
      <c r="E19" s="33"/>
      <c r="F19" s="107"/>
      <c r="G19" s="48"/>
      <c r="H19" s="50"/>
      <c r="I19" s="52"/>
      <c r="J19" s="39"/>
      <c r="K19" s="42"/>
      <c r="L19" s="56"/>
      <c r="M19" s="42"/>
      <c r="N19" s="56"/>
      <c r="O19" s="42"/>
      <c r="P19" s="56"/>
      <c r="Q19" s="42"/>
      <c r="R19" s="56"/>
      <c r="S19" s="42"/>
      <c r="T19" s="56"/>
      <c r="U19" s="42"/>
      <c r="V19" s="56"/>
      <c r="W19" s="42"/>
      <c r="X19" s="56"/>
      <c r="Y19" s="42"/>
      <c r="Z19" s="56"/>
      <c r="AA19" s="42"/>
      <c r="AB19" s="56"/>
      <c r="AC19" s="42"/>
      <c r="AD19" s="88"/>
      <c r="AE19" s="91"/>
      <c r="AH19" s="44"/>
      <c r="AI19" s="78"/>
      <c r="AJ19" s="78"/>
      <c r="AK19" s="78"/>
    </row>
    <row r="20" spans="1:37" s="29" customFormat="1" x14ac:dyDescent="0.2">
      <c r="A20" s="97"/>
      <c r="B20" s="98"/>
      <c r="D20" s="33"/>
      <c r="E20" s="33"/>
      <c r="F20" s="107"/>
      <c r="G20" s="48"/>
      <c r="H20" s="50"/>
      <c r="I20" s="52"/>
      <c r="J20" s="39"/>
      <c r="K20" s="42"/>
      <c r="L20" s="56"/>
      <c r="M20" s="42"/>
      <c r="N20" s="56"/>
      <c r="O20" s="42"/>
      <c r="P20" s="56"/>
      <c r="Q20" s="42"/>
      <c r="R20" s="56"/>
      <c r="S20" s="42"/>
      <c r="T20" s="56"/>
      <c r="U20" s="42"/>
      <c r="V20" s="56"/>
      <c r="W20" s="42"/>
      <c r="X20" s="56"/>
      <c r="Y20" s="42"/>
      <c r="Z20" s="56"/>
      <c r="AA20" s="42"/>
      <c r="AB20" s="56"/>
      <c r="AC20" s="42"/>
      <c r="AD20" s="88"/>
      <c r="AE20" s="91"/>
      <c r="AH20" s="44"/>
      <c r="AI20" s="78"/>
      <c r="AJ20" s="78"/>
      <c r="AK20" s="78"/>
    </row>
    <row r="21" spans="1:37" s="29" customFormat="1" x14ac:dyDescent="0.2">
      <c r="A21" s="99" t="s">
        <v>146</v>
      </c>
      <c r="B21" s="98"/>
      <c r="D21" s="33"/>
      <c r="E21" s="33"/>
      <c r="F21" s="107"/>
      <c r="G21" s="48"/>
      <c r="H21" s="50"/>
      <c r="I21" s="52"/>
      <c r="J21" s="39"/>
      <c r="K21" s="42"/>
      <c r="L21" s="56"/>
      <c r="M21" s="42"/>
      <c r="N21" s="56"/>
      <c r="O21" s="42"/>
      <c r="P21" s="56"/>
      <c r="Q21" s="42"/>
      <c r="R21" s="56"/>
      <c r="S21" s="42"/>
      <c r="T21" s="56"/>
      <c r="U21" s="42"/>
      <c r="V21" s="56"/>
      <c r="W21" s="42"/>
      <c r="X21" s="56"/>
      <c r="Y21" s="42"/>
      <c r="Z21" s="56"/>
      <c r="AA21" s="42"/>
      <c r="AB21" s="56"/>
      <c r="AC21" s="42"/>
      <c r="AD21" s="88"/>
      <c r="AE21" s="91"/>
      <c r="AH21" s="44"/>
      <c r="AI21" s="78"/>
      <c r="AJ21" s="78"/>
      <c r="AK21" s="78"/>
    </row>
    <row r="22" spans="1:37" s="29" customFormat="1" x14ac:dyDescent="0.2">
      <c r="A22" s="100" t="s">
        <v>140</v>
      </c>
      <c r="B22" s="101" t="s">
        <v>141</v>
      </c>
      <c r="C22" s="36" t="s">
        <v>142</v>
      </c>
      <c r="D22" s="33"/>
      <c r="E22" s="37"/>
      <c r="F22" s="107"/>
      <c r="G22" s="76" t="s">
        <v>101</v>
      </c>
      <c r="H22" s="50" t="s">
        <v>100</v>
      </c>
      <c r="I22" s="52"/>
      <c r="J22" s="75"/>
      <c r="K22" s="69"/>
      <c r="L22" s="70"/>
      <c r="M22" s="69"/>
      <c r="N22" s="70"/>
      <c r="O22" s="69"/>
      <c r="P22" s="70"/>
      <c r="Q22" s="69"/>
      <c r="R22" s="70"/>
      <c r="S22" s="69"/>
      <c r="T22" s="70"/>
      <c r="U22" s="69"/>
      <c r="V22" s="70"/>
      <c r="W22" s="69"/>
      <c r="X22" s="70"/>
      <c r="Y22" s="69"/>
      <c r="Z22" s="70"/>
      <c r="AA22" s="69"/>
      <c r="AB22" s="70"/>
      <c r="AC22" s="69"/>
      <c r="AD22" s="87"/>
      <c r="AE22" s="91"/>
      <c r="AH22" s="44"/>
      <c r="AI22" s="78"/>
      <c r="AJ22" s="78"/>
      <c r="AK22" s="78"/>
    </row>
    <row r="23" spans="1:37" s="28" customFormat="1" x14ac:dyDescent="0.2">
      <c r="A23" s="102"/>
      <c r="B23" s="103"/>
      <c r="C23" s="47" t="s">
        <v>92</v>
      </c>
      <c r="D23" s="38" t="s">
        <v>0</v>
      </c>
      <c r="E23" s="38" t="s">
        <v>65</v>
      </c>
      <c r="F23" s="108" t="s">
        <v>62</v>
      </c>
      <c r="G23" s="32" t="s">
        <v>102</v>
      </c>
      <c r="H23" s="55" t="s">
        <v>103</v>
      </c>
      <c r="I23" s="53" t="s">
        <v>68</v>
      </c>
      <c r="J23" s="40" t="s">
        <v>66</v>
      </c>
      <c r="K23" s="42" t="s">
        <v>69</v>
      </c>
      <c r="L23" s="56" t="s">
        <v>76</v>
      </c>
      <c r="M23" s="42" t="s">
        <v>70</v>
      </c>
      <c r="N23" s="56" t="s">
        <v>77</v>
      </c>
      <c r="O23" s="42" t="s">
        <v>71</v>
      </c>
      <c r="P23" s="56" t="s">
        <v>78</v>
      </c>
      <c r="Q23" s="42" t="s">
        <v>72</v>
      </c>
      <c r="R23" s="56" t="s">
        <v>79</v>
      </c>
      <c r="S23" s="42" t="s">
        <v>73</v>
      </c>
      <c r="T23" s="56" t="s">
        <v>80</v>
      </c>
      <c r="U23" s="42" t="s">
        <v>74</v>
      </c>
      <c r="V23" s="56" t="s">
        <v>81</v>
      </c>
      <c r="W23" s="42" t="s">
        <v>75</v>
      </c>
      <c r="X23" s="56" t="s">
        <v>82</v>
      </c>
      <c r="Y23" s="42" t="s">
        <v>83</v>
      </c>
      <c r="Z23" s="56" t="s">
        <v>84</v>
      </c>
      <c r="AA23" s="42" t="s">
        <v>85</v>
      </c>
      <c r="AB23" s="56" t="s">
        <v>86</v>
      </c>
      <c r="AC23" s="42" t="s">
        <v>87</v>
      </c>
      <c r="AD23" s="89" t="s">
        <v>67</v>
      </c>
      <c r="AE23" s="92" t="s">
        <v>96</v>
      </c>
      <c r="AF23" s="28" t="s">
        <v>143</v>
      </c>
      <c r="AG23" s="28" t="s">
        <v>61</v>
      </c>
      <c r="AH23" s="45" t="s">
        <v>88</v>
      </c>
      <c r="AI23" s="78" t="s">
        <v>97</v>
      </c>
      <c r="AJ23" s="78" t="s">
        <v>98</v>
      </c>
      <c r="AK23" s="78" t="s">
        <v>99</v>
      </c>
    </row>
    <row r="24" spans="1:37" x14ac:dyDescent="0.2">
      <c r="A24" s="97">
        <v>1</v>
      </c>
      <c r="B24" s="97"/>
      <c r="C24" s="82" t="str">
        <f>IF(F24=F25,"",ROW()-SUM($C$23:$C23)-23)</f>
        <v/>
      </c>
      <c r="D24" s="31" t="s">
        <v>104</v>
      </c>
      <c r="F24" s="109">
        <f>(A24*M$1)+(B24*Q$1)</f>
        <v>1.1000000000000001</v>
      </c>
      <c r="G24" s="71">
        <f t="shared" ref="G24:G31" si="0">SUM(K24:AC24)</f>
        <v>7.55</v>
      </c>
      <c r="H24" s="72">
        <f t="shared" ref="H24:H31" si="1">L24+N24+P24+R24+T24+V24+X24+Z24+AB24</f>
        <v>4.5</v>
      </c>
      <c r="I24" s="73">
        <f t="shared" ref="I24:I42" si="2">60*F24/G24</f>
        <v>8.741721854304636</v>
      </c>
      <c r="J24" s="41">
        <v>0.9</v>
      </c>
      <c r="K24" s="42">
        <v>0.55000000000000004</v>
      </c>
      <c r="L24" s="56">
        <v>1</v>
      </c>
      <c r="M24" s="42">
        <v>0.5</v>
      </c>
      <c r="N24" s="56">
        <v>1</v>
      </c>
      <c r="O24" s="42">
        <v>0.5</v>
      </c>
      <c r="P24" s="56">
        <v>1</v>
      </c>
      <c r="Q24" s="42">
        <v>0.5</v>
      </c>
      <c r="R24" s="56">
        <v>1</v>
      </c>
      <c r="S24" s="42">
        <v>0.5</v>
      </c>
      <c r="T24" s="56">
        <v>0.5</v>
      </c>
      <c r="U24" s="42">
        <v>0.5</v>
      </c>
      <c r="AD24" s="90">
        <v>1.3</v>
      </c>
      <c r="AE24" s="93">
        <v>3</v>
      </c>
      <c r="AF24" s="1" t="s">
        <v>147</v>
      </c>
      <c r="AH24" s="74">
        <f t="shared" ref="AH24:AH45" si="3">H24/G24</f>
        <v>0.59602649006622521</v>
      </c>
      <c r="AI24" s="78">
        <f>I24*5/8</f>
        <v>5.4635761589403975</v>
      </c>
      <c r="AJ24" s="78">
        <f>60/AI24</f>
        <v>10.981818181818182</v>
      </c>
      <c r="AK24" s="78">
        <f>60/Table371115[[#This Row],[kph+]]</f>
        <v>6.8636363636363633</v>
      </c>
    </row>
    <row r="25" spans="1:37" x14ac:dyDescent="0.2">
      <c r="A25" s="97">
        <v>1</v>
      </c>
      <c r="B25" s="104"/>
      <c r="C25" s="82" t="str">
        <f>IF(F25=F26,"",ROW()-SUM($C$23:$C24)-23)</f>
        <v/>
      </c>
      <c r="D25" s="31" t="s">
        <v>105</v>
      </c>
      <c r="E25" s="31"/>
      <c r="F25" s="109">
        <f t="shared" ref="F25:F45" si="4">(A25*M$1)+(B25*Q$1)</f>
        <v>1.1000000000000001</v>
      </c>
      <c r="G25" s="71">
        <f t="shared" si="0"/>
        <v>7.1999999999999993</v>
      </c>
      <c r="H25" s="72">
        <f t="shared" si="1"/>
        <v>4.5</v>
      </c>
      <c r="I25" s="73">
        <f t="shared" si="2"/>
        <v>9.1666666666666679</v>
      </c>
      <c r="J25" s="41">
        <v>1.55</v>
      </c>
      <c r="K25" s="42">
        <v>0.6</v>
      </c>
      <c r="L25" s="56">
        <v>1.25</v>
      </c>
      <c r="M25" s="42">
        <v>0.5</v>
      </c>
      <c r="N25" s="56">
        <v>1.25</v>
      </c>
      <c r="O25" s="42">
        <v>0.5</v>
      </c>
      <c r="P25" s="56">
        <v>1.5</v>
      </c>
      <c r="Q25" s="42">
        <v>0.5</v>
      </c>
      <c r="R25" s="56">
        <v>0.5</v>
      </c>
      <c r="S25" s="42">
        <v>0.6</v>
      </c>
      <c r="AD25" s="90">
        <v>1.3</v>
      </c>
      <c r="AE25" s="93">
        <v>3</v>
      </c>
      <c r="AF25" s="1" t="s">
        <v>89</v>
      </c>
      <c r="AH25" s="74">
        <f t="shared" si="3"/>
        <v>0.62500000000000011</v>
      </c>
      <c r="AI25" s="78">
        <f>I25*5/8</f>
        <v>5.7291666666666679</v>
      </c>
      <c r="AJ25" s="78">
        <f>60/AI25</f>
        <v>10.472727272727271</v>
      </c>
      <c r="AK25" s="78">
        <f>60/Table371115[[#This Row],[kph+]]</f>
        <v>6.545454545454545</v>
      </c>
    </row>
    <row r="26" spans="1:37" x14ac:dyDescent="0.2">
      <c r="A26" s="97">
        <v>1</v>
      </c>
      <c r="B26" s="104"/>
      <c r="C26" s="82" t="str">
        <f>IF(F26=F27,"",ROW()-SUM($C$23:$C25)-23)</f>
        <v/>
      </c>
      <c r="D26" s="31" t="s">
        <v>106</v>
      </c>
      <c r="F26" s="109">
        <f t="shared" si="4"/>
        <v>1.1000000000000001</v>
      </c>
      <c r="G26" s="71">
        <f t="shared" si="0"/>
        <v>7.05</v>
      </c>
      <c r="H26" s="72">
        <f t="shared" si="1"/>
        <v>5</v>
      </c>
      <c r="I26" s="73">
        <f t="shared" si="2"/>
        <v>9.3617021276595747</v>
      </c>
      <c r="J26" s="41">
        <v>1.8</v>
      </c>
      <c r="K26" s="42">
        <v>0.3</v>
      </c>
      <c r="L26" s="56">
        <v>1.5</v>
      </c>
      <c r="M26" s="42">
        <v>0.5</v>
      </c>
      <c r="N26" s="56">
        <v>1.5</v>
      </c>
      <c r="O26" s="42">
        <v>0.5</v>
      </c>
      <c r="P26" s="56">
        <v>1.5</v>
      </c>
      <c r="Q26" s="42">
        <v>0.5</v>
      </c>
      <c r="R26" s="56">
        <v>0.5</v>
      </c>
      <c r="S26" s="42">
        <v>0.25</v>
      </c>
      <c r="AD26" s="90">
        <v>2.9</v>
      </c>
      <c r="AE26" s="93">
        <v>2</v>
      </c>
      <c r="AF26" s="1" t="s">
        <v>89</v>
      </c>
      <c r="AH26" s="74">
        <f t="shared" si="3"/>
        <v>0.70921985815602839</v>
      </c>
      <c r="AI26" s="78">
        <f>I26*5/8</f>
        <v>5.8510638297872344</v>
      </c>
      <c r="AJ26" s="78">
        <f>60/AI26</f>
        <v>10.254545454545454</v>
      </c>
      <c r="AK26" s="78">
        <f>60/Table371115[[#This Row],[kph+]]</f>
        <v>6.4090909090909092</v>
      </c>
    </row>
    <row r="27" spans="1:37" x14ac:dyDescent="0.2">
      <c r="A27" s="97">
        <v>1</v>
      </c>
      <c r="B27" s="104"/>
      <c r="C27" s="82" t="str">
        <f>IF(F27=F28,"",ROW()-SUM($C$23:$C26)-23)</f>
        <v/>
      </c>
      <c r="D27" s="31" t="s">
        <v>107</v>
      </c>
      <c r="F27" s="109">
        <f t="shared" si="4"/>
        <v>1.1000000000000001</v>
      </c>
      <c r="G27" s="71">
        <f t="shared" si="0"/>
        <v>7</v>
      </c>
      <c r="H27" s="72">
        <f t="shared" si="1"/>
        <v>4.75</v>
      </c>
      <c r="I27" s="73">
        <f t="shared" si="2"/>
        <v>9.4285714285714288</v>
      </c>
      <c r="J27" s="41">
        <v>1.4</v>
      </c>
      <c r="K27" s="42">
        <v>0.5</v>
      </c>
      <c r="L27" s="56">
        <v>1.75</v>
      </c>
      <c r="M27" s="42">
        <v>0.5</v>
      </c>
      <c r="N27" s="56">
        <v>1.5</v>
      </c>
      <c r="O27" s="42">
        <v>0.5</v>
      </c>
      <c r="P27" s="56">
        <v>1.5</v>
      </c>
      <c r="Q27" s="42">
        <v>0.75</v>
      </c>
      <c r="AD27" s="90">
        <v>2.75</v>
      </c>
      <c r="AE27" s="93">
        <v>3</v>
      </c>
      <c r="AF27" s="1" t="s">
        <v>89</v>
      </c>
      <c r="AH27" s="74">
        <f t="shared" si="3"/>
        <v>0.6785714285714286</v>
      </c>
      <c r="AI27" s="78">
        <f>I27*5/8</f>
        <v>5.8928571428571432</v>
      </c>
      <c r="AJ27" s="78">
        <f>60/AI27</f>
        <v>10.181818181818182</v>
      </c>
      <c r="AK27" s="78">
        <f>60/Table371115[[#This Row],[kph+]]</f>
        <v>6.3636363636363633</v>
      </c>
    </row>
    <row r="28" spans="1:37" x14ac:dyDescent="0.2">
      <c r="A28" s="97">
        <v>1</v>
      </c>
      <c r="B28" s="104"/>
      <c r="C28" s="82">
        <f>IF(F28=F29,"",ROW()-SUM($C$23:$C27)-23)</f>
        <v>5</v>
      </c>
      <c r="D28" s="31" t="s">
        <v>108</v>
      </c>
      <c r="F28" s="109">
        <f t="shared" si="4"/>
        <v>1.1000000000000001</v>
      </c>
      <c r="G28" s="71">
        <f t="shared" si="0"/>
        <v>6.75</v>
      </c>
      <c r="H28" s="72">
        <f t="shared" si="1"/>
        <v>4.75</v>
      </c>
      <c r="I28" s="73">
        <f t="shared" si="2"/>
        <v>9.7777777777777786</v>
      </c>
      <c r="J28" s="41">
        <v>2.2000000000000002</v>
      </c>
      <c r="K28" s="42">
        <v>0.5</v>
      </c>
      <c r="L28" s="56">
        <v>2</v>
      </c>
      <c r="M28" s="42">
        <v>0.5</v>
      </c>
      <c r="N28" s="56">
        <v>1.75</v>
      </c>
      <c r="O28" s="42">
        <v>0.5</v>
      </c>
      <c r="P28" s="56">
        <v>1</v>
      </c>
      <c r="Q28" s="42">
        <v>0.5</v>
      </c>
      <c r="AD28" s="90">
        <v>2.9</v>
      </c>
      <c r="AE28" s="93">
        <v>3</v>
      </c>
      <c r="AF28" s="1" t="s">
        <v>89</v>
      </c>
      <c r="AG28" s="1" t="s">
        <v>112</v>
      </c>
      <c r="AH28" s="74">
        <f t="shared" si="3"/>
        <v>0.70370370370370372</v>
      </c>
      <c r="AI28" s="78">
        <f>I28*5/8</f>
        <v>6.1111111111111116</v>
      </c>
      <c r="AJ28" s="78">
        <f>60/AI28</f>
        <v>9.8181818181818166</v>
      </c>
      <c r="AK28" s="78">
        <f>60/Table371115[[#This Row],[kph+]]</f>
        <v>6.1363636363636358</v>
      </c>
    </row>
    <row r="29" spans="1:37" x14ac:dyDescent="0.2">
      <c r="B29" s="104">
        <v>1</v>
      </c>
      <c r="C29" s="82" t="str">
        <f>IF(F29=F30,"",ROW()-SUM($C$23:$C28)-23)</f>
        <v/>
      </c>
      <c r="D29" s="31" t="s">
        <v>109</v>
      </c>
      <c r="F29" s="109">
        <f t="shared" si="4"/>
        <v>1.55</v>
      </c>
      <c r="G29" s="71">
        <f t="shared" si="0"/>
        <v>9.85</v>
      </c>
      <c r="H29" s="72">
        <f t="shared" si="1"/>
        <v>6.75</v>
      </c>
      <c r="I29" s="73">
        <f t="shared" si="2"/>
        <v>9.4416243654822338</v>
      </c>
      <c r="J29" s="41">
        <v>1.65</v>
      </c>
      <c r="K29" s="42">
        <v>0.5</v>
      </c>
      <c r="L29" s="56">
        <v>2</v>
      </c>
      <c r="M29" s="42">
        <v>0.5</v>
      </c>
      <c r="N29" s="56">
        <v>1.75</v>
      </c>
      <c r="O29" s="42">
        <v>0.5</v>
      </c>
      <c r="P29" s="56">
        <v>1</v>
      </c>
      <c r="Q29" s="42">
        <v>0.5</v>
      </c>
      <c r="R29" s="56">
        <v>1</v>
      </c>
      <c r="S29" s="42">
        <v>0.5</v>
      </c>
      <c r="T29" s="56">
        <v>1</v>
      </c>
      <c r="U29" s="42">
        <v>0.6</v>
      </c>
      <c r="AD29" s="90">
        <v>2.4500000000000002</v>
      </c>
      <c r="AE29" s="93">
        <v>3</v>
      </c>
      <c r="AF29" s="1" t="s">
        <v>90</v>
      </c>
      <c r="AH29" s="74">
        <f t="shared" si="3"/>
        <v>0.68527918781725894</v>
      </c>
      <c r="AI29" s="78">
        <f t="shared" ref="AI29:AI32" si="5">I29*5/8</f>
        <v>5.9010152284263961</v>
      </c>
      <c r="AJ29" s="78">
        <f t="shared" ref="AJ29:AJ32" si="6">60/AI29</f>
        <v>10.167741935483871</v>
      </c>
      <c r="AK29" s="78">
        <f>60/Table371115[[#This Row],[kph+]]</f>
        <v>6.354838709677419</v>
      </c>
    </row>
    <row r="30" spans="1:37" x14ac:dyDescent="0.2">
      <c r="B30" s="104">
        <v>1</v>
      </c>
      <c r="C30" s="82" t="str">
        <f>IF(F30=F31,"",ROW()-SUM($C$23:$C29)-23)</f>
        <v/>
      </c>
      <c r="D30" s="31" t="s">
        <v>110</v>
      </c>
      <c r="F30" s="109">
        <f t="shared" si="4"/>
        <v>1.55</v>
      </c>
      <c r="G30" s="71">
        <f t="shared" si="0"/>
        <v>9.8000000000000007</v>
      </c>
      <c r="H30" s="72">
        <f t="shared" si="1"/>
        <v>7</v>
      </c>
      <c r="I30" s="73">
        <f t="shared" si="2"/>
        <v>9.4897959183673457</v>
      </c>
      <c r="J30" s="41">
        <v>2.1</v>
      </c>
      <c r="K30" s="42">
        <v>0.5</v>
      </c>
      <c r="L30" s="56">
        <v>2.25</v>
      </c>
      <c r="M30" s="42">
        <v>0.5</v>
      </c>
      <c r="N30" s="56">
        <v>2</v>
      </c>
      <c r="O30" s="42">
        <v>0.5</v>
      </c>
      <c r="P30" s="56">
        <v>1.5</v>
      </c>
      <c r="Q30" s="42">
        <v>0.5</v>
      </c>
      <c r="R30" s="56">
        <v>1.25</v>
      </c>
      <c r="S30" s="42">
        <v>0.8</v>
      </c>
      <c r="AD30" s="90">
        <v>2.8</v>
      </c>
      <c r="AE30" s="93">
        <v>4.5</v>
      </c>
      <c r="AF30" s="1" t="s">
        <v>90</v>
      </c>
      <c r="AH30" s="74">
        <f t="shared" si="3"/>
        <v>0.71428571428571419</v>
      </c>
      <c r="AI30" s="78">
        <f t="shared" si="5"/>
        <v>5.9311224489795915</v>
      </c>
      <c r="AJ30" s="78">
        <f t="shared" si="6"/>
        <v>10.116129032258065</v>
      </c>
      <c r="AK30" s="78">
        <f>60/Table371115[[#This Row],[kph+]]</f>
        <v>6.3225806451612909</v>
      </c>
    </row>
    <row r="31" spans="1:37" x14ac:dyDescent="0.2">
      <c r="B31" s="104">
        <v>1</v>
      </c>
      <c r="C31" s="82" t="str">
        <f>IF(F31=F32,"",ROW()-SUM($C$23:$C30)-23)</f>
        <v/>
      </c>
      <c r="D31" s="31" t="s">
        <v>111</v>
      </c>
      <c r="F31" s="109">
        <f t="shared" si="4"/>
        <v>1.55</v>
      </c>
      <c r="G31" s="71">
        <f t="shared" si="0"/>
        <v>9.5</v>
      </c>
      <c r="H31" s="72">
        <f t="shared" si="1"/>
        <v>7</v>
      </c>
      <c r="I31" s="73">
        <f t="shared" si="2"/>
        <v>9.7894736842105257</v>
      </c>
      <c r="J31" s="41">
        <v>1.6</v>
      </c>
      <c r="K31" s="42">
        <v>0.5</v>
      </c>
      <c r="L31" s="56">
        <v>2.5</v>
      </c>
      <c r="M31" s="42">
        <v>0.5</v>
      </c>
      <c r="N31" s="56">
        <v>2.5</v>
      </c>
      <c r="O31" s="42">
        <v>0.5</v>
      </c>
      <c r="P31" s="56">
        <v>1.5</v>
      </c>
      <c r="Q31" s="42">
        <v>0.5</v>
      </c>
      <c r="R31" s="56">
        <v>0.5</v>
      </c>
      <c r="S31" s="42">
        <v>0.5</v>
      </c>
      <c r="AD31" s="90">
        <v>3</v>
      </c>
      <c r="AE31" s="93">
        <v>4</v>
      </c>
      <c r="AF31" s="1" t="s">
        <v>90</v>
      </c>
      <c r="AG31" s="1" t="s">
        <v>113</v>
      </c>
      <c r="AH31" s="74">
        <f t="shared" si="3"/>
        <v>0.73684210526315785</v>
      </c>
      <c r="AI31" s="78">
        <f t="shared" si="5"/>
        <v>6.1184210526315788</v>
      </c>
      <c r="AJ31" s="78">
        <f t="shared" si="6"/>
        <v>9.806451612903226</v>
      </c>
      <c r="AK31" s="78">
        <f>60/Table371115[[#This Row],[kph+]]</f>
        <v>6.1290322580645169</v>
      </c>
    </row>
    <row r="32" spans="1:37" x14ac:dyDescent="0.2">
      <c r="B32" s="104">
        <v>1</v>
      </c>
      <c r="C32" s="82">
        <f>IF(F32=F33,"",ROW()-SUM($C$23:$C31)-23)</f>
        <v>4</v>
      </c>
      <c r="D32" s="31" t="s">
        <v>114</v>
      </c>
      <c r="F32" s="109">
        <f t="shared" si="4"/>
        <v>1.55</v>
      </c>
      <c r="G32" s="71">
        <f t="shared" ref="G32" si="7">SUM(K32:AC32)</f>
        <v>9.1999999999999993</v>
      </c>
      <c r="H32" s="72">
        <f t="shared" ref="H32" si="8">L32+N32+P32+R32+T32+V32+X32+Z32+AB32</f>
        <v>7.25</v>
      </c>
      <c r="I32" s="73">
        <f t="shared" si="2"/>
        <v>10.108695652173914</v>
      </c>
      <c r="J32" s="41">
        <v>1.85</v>
      </c>
      <c r="K32" s="42">
        <v>0.45</v>
      </c>
      <c r="L32" s="56">
        <v>2.75</v>
      </c>
      <c r="M32" s="42">
        <v>0.5</v>
      </c>
      <c r="N32" s="56">
        <v>2.75</v>
      </c>
      <c r="O32" s="42">
        <v>0.5</v>
      </c>
      <c r="P32" s="56">
        <v>1.75</v>
      </c>
      <c r="Q32" s="42">
        <v>0.5</v>
      </c>
      <c r="AD32" s="90">
        <v>3.85</v>
      </c>
      <c r="AE32" s="93">
        <v>3</v>
      </c>
      <c r="AF32" s="1" t="s">
        <v>90</v>
      </c>
      <c r="AG32" s="1" t="s">
        <v>115</v>
      </c>
      <c r="AH32" s="74">
        <f t="shared" si="3"/>
        <v>0.78804347826086962</v>
      </c>
      <c r="AI32" s="78">
        <f t="shared" si="5"/>
        <v>6.3179347826086962</v>
      </c>
      <c r="AJ32" s="78">
        <f t="shared" si="6"/>
        <v>9.4967741935483865</v>
      </c>
      <c r="AK32" s="78">
        <f>60/Table371115[[#This Row],[kph+]]</f>
        <v>5.9354838709677411</v>
      </c>
    </row>
    <row r="33" spans="1:37" x14ac:dyDescent="0.2">
      <c r="A33" s="97">
        <v>2</v>
      </c>
      <c r="B33" s="104"/>
      <c r="C33" s="82" t="str">
        <f>IF(F33=F34,"",ROW()-SUM($C$23:$C32)-23)</f>
        <v/>
      </c>
      <c r="D33" s="31" t="s">
        <v>116</v>
      </c>
      <c r="F33" s="109">
        <f t="shared" si="4"/>
        <v>2.2000000000000002</v>
      </c>
      <c r="G33" s="71">
        <f t="shared" ref="G33:G36" si="9">SUM(K33:AC33)</f>
        <v>13.5</v>
      </c>
      <c r="H33" s="72">
        <f t="shared" ref="H33:H36" si="10">L33+N33+P33+R33+T33+V33+X33+Z33+AB33</f>
        <v>10.5</v>
      </c>
      <c r="I33" s="73">
        <f t="shared" si="2"/>
        <v>9.7777777777777786</v>
      </c>
      <c r="J33" s="41">
        <v>1.45</v>
      </c>
      <c r="K33" s="42">
        <v>0.5</v>
      </c>
      <c r="L33" s="56">
        <v>2.75</v>
      </c>
      <c r="M33" s="42">
        <v>0.5</v>
      </c>
      <c r="N33" s="56">
        <v>2.75</v>
      </c>
      <c r="O33" s="42">
        <v>0.5</v>
      </c>
      <c r="P33" s="56">
        <v>2</v>
      </c>
      <c r="Q33" s="42">
        <v>0.5</v>
      </c>
      <c r="R33" s="56">
        <v>1.5</v>
      </c>
      <c r="S33" s="42">
        <v>0.5</v>
      </c>
      <c r="T33" s="56">
        <v>1.5</v>
      </c>
      <c r="U33" s="42">
        <v>0.5</v>
      </c>
      <c r="AD33" s="90">
        <v>2.8</v>
      </c>
      <c r="AE33" s="93">
        <v>3</v>
      </c>
      <c r="AF33" s="1" t="s">
        <v>147</v>
      </c>
      <c r="AG33" s="1" t="s">
        <v>117</v>
      </c>
      <c r="AH33" s="74">
        <f t="shared" si="3"/>
        <v>0.77777777777777779</v>
      </c>
      <c r="AI33" s="78">
        <f t="shared" ref="AI33:AI45" si="11">I33*5/8</f>
        <v>6.1111111111111116</v>
      </c>
      <c r="AJ33" s="78">
        <f t="shared" ref="AJ33:AJ45" si="12">60/AI33</f>
        <v>9.8181818181818166</v>
      </c>
      <c r="AK33" s="78">
        <f>60/Table371115[[#This Row],[kph+]]</f>
        <v>6.1363636363636358</v>
      </c>
    </row>
    <row r="34" spans="1:37" x14ac:dyDescent="0.2">
      <c r="A34" s="97">
        <v>2</v>
      </c>
      <c r="B34" s="104"/>
      <c r="C34" s="82" t="str">
        <f>IF(F34=F35,"",ROW()-SUM($C$23:$C33)-23)</f>
        <v/>
      </c>
      <c r="D34" s="31" t="s">
        <v>118</v>
      </c>
      <c r="F34" s="109">
        <f t="shared" si="4"/>
        <v>2.2000000000000002</v>
      </c>
      <c r="G34" s="71">
        <f t="shared" si="9"/>
        <v>13.25</v>
      </c>
      <c r="H34" s="72">
        <f t="shared" si="10"/>
        <v>10.25</v>
      </c>
      <c r="I34" s="73">
        <f t="shared" si="2"/>
        <v>9.9622641509433958</v>
      </c>
      <c r="J34" s="41">
        <v>1.8</v>
      </c>
      <c r="K34" s="42">
        <v>0.5</v>
      </c>
      <c r="L34" s="56">
        <v>3</v>
      </c>
      <c r="M34" s="42">
        <v>0.5</v>
      </c>
      <c r="N34" s="56">
        <v>2.75</v>
      </c>
      <c r="O34" s="42">
        <v>0.5</v>
      </c>
      <c r="P34" s="56">
        <v>1.75</v>
      </c>
      <c r="Q34" s="42">
        <v>0.5</v>
      </c>
      <c r="R34" s="56">
        <v>1.5</v>
      </c>
      <c r="S34" s="42">
        <v>0.5</v>
      </c>
      <c r="T34" s="56">
        <v>1.25</v>
      </c>
      <c r="U34" s="42">
        <v>0.5</v>
      </c>
      <c r="AD34" s="90">
        <v>3.5</v>
      </c>
      <c r="AE34" s="93">
        <v>3.5</v>
      </c>
      <c r="AF34" s="1" t="s">
        <v>147</v>
      </c>
      <c r="AG34" s="1" t="s">
        <v>119</v>
      </c>
      <c r="AH34" s="74">
        <f t="shared" si="3"/>
        <v>0.77358490566037741</v>
      </c>
      <c r="AI34" s="78">
        <f t="shared" si="11"/>
        <v>6.2264150943396226</v>
      </c>
      <c r="AJ34" s="78">
        <f t="shared" si="12"/>
        <v>9.6363636363636367</v>
      </c>
      <c r="AK34" s="78">
        <f>60/Table371115[[#This Row],[kph+]]</f>
        <v>6.0227272727272734</v>
      </c>
    </row>
    <row r="35" spans="1:37" x14ac:dyDescent="0.2">
      <c r="A35" s="97">
        <v>2</v>
      </c>
      <c r="B35" s="104"/>
      <c r="C35" s="82" t="str">
        <f>IF(F35=F36,"",ROW()-SUM($C$23:$C34)-23)</f>
        <v/>
      </c>
      <c r="D35" s="31" t="s">
        <v>120</v>
      </c>
      <c r="F35" s="109">
        <f t="shared" si="4"/>
        <v>2.2000000000000002</v>
      </c>
      <c r="G35" s="71">
        <f t="shared" si="9"/>
        <v>13</v>
      </c>
      <c r="H35" s="72">
        <f t="shared" si="10"/>
        <v>10</v>
      </c>
      <c r="I35" s="73">
        <f t="shared" si="2"/>
        <v>10.153846153846153</v>
      </c>
      <c r="J35" s="41">
        <v>1.75</v>
      </c>
      <c r="K35" s="42">
        <v>0.5</v>
      </c>
      <c r="L35" s="56">
        <v>3.25</v>
      </c>
      <c r="M35" s="42">
        <v>0.5</v>
      </c>
      <c r="N35" s="56">
        <v>3</v>
      </c>
      <c r="O35" s="42">
        <v>0.5</v>
      </c>
      <c r="P35" s="56">
        <v>1.75</v>
      </c>
      <c r="Q35" s="42">
        <v>0.5</v>
      </c>
      <c r="R35" s="56">
        <v>1.5</v>
      </c>
      <c r="S35" s="42">
        <v>0.5</v>
      </c>
      <c r="T35" s="56">
        <v>0.5</v>
      </c>
      <c r="U35" s="42">
        <v>0.5</v>
      </c>
      <c r="AD35" s="90">
        <v>3.2</v>
      </c>
      <c r="AE35" s="93">
        <v>3</v>
      </c>
      <c r="AF35" s="1" t="s">
        <v>147</v>
      </c>
      <c r="AG35" s="1" t="s">
        <v>121</v>
      </c>
      <c r="AH35" s="74">
        <f t="shared" si="3"/>
        <v>0.76923076923076927</v>
      </c>
      <c r="AI35" s="78">
        <f t="shared" si="11"/>
        <v>6.3461538461538458</v>
      </c>
      <c r="AJ35" s="78">
        <f t="shared" si="12"/>
        <v>9.454545454545455</v>
      </c>
      <c r="AK35" s="78">
        <f>60/Table371115[[#This Row],[kph+]]</f>
        <v>5.9090909090909092</v>
      </c>
    </row>
    <row r="36" spans="1:37" x14ac:dyDescent="0.2">
      <c r="A36" s="97">
        <v>2</v>
      </c>
      <c r="B36" s="104"/>
      <c r="C36" s="82">
        <f>IF(F36=F37,"",ROW()-SUM($C$23:$C35)-23)</f>
        <v>4</v>
      </c>
      <c r="D36" s="31" t="s">
        <v>122</v>
      </c>
      <c r="F36" s="109">
        <f t="shared" si="4"/>
        <v>2.2000000000000002</v>
      </c>
      <c r="G36" s="71">
        <f t="shared" si="9"/>
        <v>13.5</v>
      </c>
      <c r="H36" s="72">
        <f t="shared" si="10"/>
        <v>10.5</v>
      </c>
      <c r="I36" s="73">
        <f t="shared" si="2"/>
        <v>9.7777777777777786</v>
      </c>
      <c r="J36" s="41">
        <v>1.75</v>
      </c>
      <c r="K36" s="42">
        <v>0.5</v>
      </c>
      <c r="L36" s="56">
        <v>3.5</v>
      </c>
      <c r="M36" s="42">
        <v>0.5</v>
      </c>
      <c r="N36" s="56">
        <v>3</v>
      </c>
      <c r="O36" s="42">
        <v>0.5</v>
      </c>
      <c r="P36" s="56">
        <v>2</v>
      </c>
      <c r="Q36" s="42">
        <v>0.5</v>
      </c>
      <c r="R36" s="56">
        <v>1.5</v>
      </c>
      <c r="S36" s="42">
        <v>0.5</v>
      </c>
      <c r="T36" s="56">
        <v>0.5</v>
      </c>
      <c r="U36" s="42">
        <v>0.5</v>
      </c>
      <c r="AD36" s="90">
        <v>3.15</v>
      </c>
      <c r="AE36" s="93">
        <v>3.5</v>
      </c>
      <c r="AF36" s="1" t="s">
        <v>147</v>
      </c>
      <c r="AG36" s="1" t="s">
        <v>123</v>
      </c>
      <c r="AH36" s="74">
        <f t="shared" si="3"/>
        <v>0.77777777777777779</v>
      </c>
      <c r="AI36" s="78">
        <f t="shared" si="11"/>
        <v>6.1111111111111116</v>
      </c>
      <c r="AJ36" s="78">
        <f t="shared" si="12"/>
        <v>9.8181818181818166</v>
      </c>
      <c r="AK36" s="78">
        <f>60/Table371115[[#This Row],[kph+]]</f>
        <v>6.1363636363636358</v>
      </c>
    </row>
    <row r="37" spans="1:37" x14ac:dyDescent="0.2">
      <c r="A37" s="97">
        <v>1</v>
      </c>
      <c r="B37" s="105">
        <v>1</v>
      </c>
      <c r="C37" s="82" t="str">
        <f>IF(F37=F38,"",ROW()-SUM($C$23:$C36)-23)</f>
        <v/>
      </c>
      <c r="D37" s="31" t="s">
        <v>124</v>
      </c>
      <c r="F37" s="109">
        <f t="shared" si="4"/>
        <v>2.6500000000000004</v>
      </c>
      <c r="G37" s="79">
        <f t="shared" ref="G37:G42" si="13">SUM(K37:AC37)</f>
        <v>15</v>
      </c>
      <c r="H37" s="80">
        <f t="shared" ref="H37:H42" si="14">L37+N37+P37+R37+T37+V37+X37+Z37+AB37</f>
        <v>11.5</v>
      </c>
      <c r="I37" s="81">
        <f t="shared" si="2"/>
        <v>10.600000000000001</v>
      </c>
      <c r="J37" s="41">
        <v>1.85</v>
      </c>
      <c r="K37" s="42">
        <v>0.5</v>
      </c>
      <c r="L37" s="56">
        <v>3.75</v>
      </c>
      <c r="M37" s="42">
        <v>0.5</v>
      </c>
      <c r="N37" s="56">
        <v>3.25</v>
      </c>
      <c r="O37" s="42">
        <v>0.5</v>
      </c>
      <c r="P37" s="56">
        <v>2</v>
      </c>
      <c r="Q37" s="42">
        <v>0.5</v>
      </c>
      <c r="R37" s="56">
        <v>1.5</v>
      </c>
      <c r="S37" s="42">
        <v>0.5</v>
      </c>
      <c r="T37" s="56">
        <v>1</v>
      </c>
      <c r="U37" s="42">
        <v>1</v>
      </c>
      <c r="AD37" s="90">
        <v>2.9</v>
      </c>
      <c r="AE37" s="93">
        <v>3</v>
      </c>
      <c r="AF37" s="1" t="s">
        <v>148</v>
      </c>
      <c r="AG37" s="1" t="s">
        <v>119</v>
      </c>
      <c r="AH37" s="74">
        <f t="shared" si="3"/>
        <v>0.76666666666666672</v>
      </c>
      <c r="AI37" s="78">
        <f t="shared" si="11"/>
        <v>6.6250000000000009</v>
      </c>
      <c r="AJ37" s="78">
        <f t="shared" si="12"/>
        <v>9.0566037735849036</v>
      </c>
      <c r="AK37" s="78">
        <f>60/Table371115[[#This Row],[kph+]]</f>
        <v>5.6603773584905657</v>
      </c>
    </row>
    <row r="38" spans="1:37" x14ac:dyDescent="0.2">
      <c r="A38" s="97">
        <v>1</v>
      </c>
      <c r="B38" s="105">
        <v>1</v>
      </c>
      <c r="C38" s="82" t="str">
        <f>IF(F38=F39,"",ROW()-SUM($C$23:$C37)-23)</f>
        <v/>
      </c>
      <c r="D38" s="31" t="s">
        <v>125</v>
      </c>
      <c r="F38" s="109">
        <f t="shared" si="4"/>
        <v>2.6500000000000004</v>
      </c>
      <c r="G38" s="79">
        <f t="shared" si="13"/>
        <v>15.25</v>
      </c>
      <c r="H38" s="80">
        <f t="shared" si="14"/>
        <v>11.75</v>
      </c>
      <c r="I38" s="81">
        <f t="shared" si="2"/>
        <v>10.426229508196723</v>
      </c>
      <c r="J38" s="41">
        <v>1.55</v>
      </c>
      <c r="K38" s="42">
        <v>0.5</v>
      </c>
      <c r="L38" s="56">
        <v>4</v>
      </c>
      <c r="M38" s="42">
        <v>0.5</v>
      </c>
      <c r="N38" s="56">
        <v>3.25</v>
      </c>
      <c r="O38" s="42">
        <v>0.5</v>
      </c>
      <c r="P38" s="56">
        <v>2</v>
      </c>
      <c r="Q38" s="42">
        <v>0.5</v>
      </c>
      <c r="R38" s="56">
        <v>1.5</v>
      </c>
      <c r="S38" s="42">
        <v>0.5</v>
      </c>
      <c r="T38" s="56">
        <v>1</v>
      </c>
      <c r="U38" s="42">
        <v>1</v>
      </c>
      <c r="AD38" s="90">
        <v>3.1</v>
      </c>
      <c r="AE38" s="93">
        <v>4</v>
      </c>
      <c r="AF38" s="1" t="s">
        <v>149</v>
      </c>
      <c r="AG38" s="1" t="s">
        <v>126</v>
      </c>
      <c r="AH38" s="74">
        <f t="shared" si="3"/>
        <v>0.77049180327868849</v>
      </c>
      <c r="AI38" s="78">
        <f t="shared" si="11"/>
        <v>6.5163934426229524</v>
      </c>
      <c r="AJ38" s="78">
        <f t="shared" si="12"/>
        <v>9.2075471698113187</v>
      </c>
      <c r="AK38" s="78">
        <f>60/Table371115[[#This Row],[kph+]]</f>
        <v>5.7547169811320744</v>
      </c>
    </row>
    <row r="39" spans="1:37" x14ac:dyDescent="0.2">
      <c r="A39" s="97">
        <v>1</v>
      </c>
      <c r="B39" s="105">
        <v>1</v>
      </c>
      <c r="C39" s="82" t="str">
        <f>IF(F39=F40,"",ROW()-SUM($C$23:$C38)-23)</f>
        <v/>
      </c>
      <c r="D39" s="31" t="s">
        <v>127</v>
      </c>
      <c r="F39" s="109">
        <f t="shared" si="4"/>
        <v>2.6500000000000004</v>
      </c>
      <c r="G39" s="79">
        <f t="shared" si="13"/>
        <v>15.25</v>
      </c>
      <c r="H39" s="80">
        <f t="shared" si="14"/>
        <v>12.25</v>
      </c>
      <c r="I39" s="81">
        <f t="shared" si="2"/>
        <v>10.426229508196723</v>
      </c>
      <c r="J39" s="41">
        <v>1.75</v>
      </c>
      <c r="K39" s="42">
        <v>0.5</v>
      </c>
      <c r="L39" s="56">
        <v>4.25</v>
      </c>
      <c r="M39" s="42">
        <v>0.5</v>
      </c>
      <c r="N39" s="56">
        <v>3.5</v>
      </c>
      <c r="O39" s="42">
        <v>0.5</v>
      </c>
      <c r="P39" s="56">
        <v>2</v>
      </c>
      <c r="Q39" s="42">
        <v>0.5</v>
      </c>
      <c r="R39" s="56">
        <v>1.75</v>
      </c>
      <c r="S39" s="42">
        <v>0.5</v>
      </c>
      <c r="T39" s="56">
        <v>0.75</v>
      </c>
      <c r="U39" s="42">
        <v>0.5</v>
      </c>
      <c r="AD39" s="90">
        <v>2.8</v>
      </c>
      <c r="AE39" s="93">
        <v>3</v>
      </c>
      <c r="AF39" s="1" t="s">
        <v>149</v>
      </c>
      <c r="AG39" s="1" t="s">
        <v>129</v>
      </c>
      <c r="AH39" s="74">
        <f t="shared" si="3"/>
        <v>0.80327868852459017</v>
      </c>
      <c r="AI39" s="78">
        <f t="shared" si="11"/>
        <v>6.5163934426229524</v>
      </c>
      <c r="AJ39" s="78">
        <f t="shared" si="12"/>
        <v>9.2075471698113187</v>
      </c>
      <c r="AK39" s="78">
        <f>60/Table371115[[#This Row],[kph+]]</f>
        <v>5.7547169811320744</v>
      </c>
    </row>
    <row r="40" spans="1:37" x14ac:dyDescent="0.2">
      <c r="A40" s="97">
        <v>1</v>
      </c>
      <c r="B40" s="105">
        <v>1</v>
      </c>
      <c r="C40" s="82" t="str">
        <f>IF(F40=F41,"",ROW()-SUM($C$23:$C39)-23)</f>
        <v/>
      </c>
      <c r="D40" s="31" t="s">
        <v>130</v>
      </c>
      <c r="F40" s="109">
        <f t="shared" si="4"/>
        <v>2.6500000000000004</v>
      </c>
      <c r="G40" s="79">
        <f t="shared" si="13"/>
        <v>15.75</v>
      </c>
      <c r="H40" s="80">
        <f t="shared" si="14"/>
        <v>12.75</v>
      </c>
      <c r="I40" s="81">
        <f t="shared" si="2"/>
        <v>10.095238095238097</v>
      </c>
      <c r="J40" s="41">
        <v>1.9</v>
      </c>
      <c r="K40" s="42">
        <v>0.5</v>
      </c>
      <c r="L40" s="56">
        <v>4.5</v>
      </c>
      <c r="M40" s="42">
        <v>0.5</v>
      </c>
      <c r="N40" s="56">
        <v>3.5</v>
      </c>
      <c r="O40" s="42">
        <v>0.5</v>
      </c>
      <c r="P40" s="56">
        <v>2.25</v>
      </c>
      <c r="Q40" s="42">
        <v>0.5</v>
      </c>
      <c r="R40" s="56">
        <v>1.75</v>
      </c>
      <c r="S40" s="42">
        <v>0.5</v>
      </c>
      <c r="T40" s="56">
        <v>0.75</v>
      </c>
      <c r="U40" s="42">
        <v>0.5</v>
      </c>
      <c r="AD40" s="90">
        <v>2.9</v>
      </c>
      <c r="AE40" s="93">
        <v>3</v>
      </c>
      <c r="AF40" s="1" t="s">
        <v>149</v>
      </c>
      <c r="AG40" s="1" t="s">
        <v>131</v>
      </c>
      <c r="AH40" s="74">
        <f t="shared" si="3"/>
        <v>0.80952380952380953</v>
      </c>
      <c r="AI40" s="78">
        <f t="shared" si="11"/>
        <v>6.3095238095238102</v>
      </c>
      <c r="AJ40" s="78">
        <f t="shared" si="12"/>
        <v>9.5094339622641506</v>
      </c>
      <c r="AK40" s="78">
        <f>60/Table371115[[#This Row],[kph+]]</f>
        <v>5.9433962264150937</v>
      </c>
    </row>
    <row r="41" spans="1:37" x14ac:dyDescent="0.2">
      <c r="A41" s="97">
        <v>1</v>
      </c>
      <c r="B41" s="105">
        <v>1</v>
      </c>
      <c r="C41" s="82" t="str">
        <f>IF(F41=F42,"",ROW()-SUM($C$23:$C40)-23)</f>
        <v/>
      </c>
      <c r="D41" s="31" t="s">
        <v>132</v>
      </c>
      <c r="F41" s="109">
        <f t="shared" si="4"/>
        <v>2.6500000000000004</v>
      </c>
      <c r="G41" s="79">
        <f t="shared" si="13"/>
        <v>16</v>
      </c>
      <c r="H41" s="80">
        <f t="shared" si="14"/>
        <v>13</v>
      </c>
      <c r="I41" s="81">
        <f t="shared" si="2"/>
        <v>9.9375000000000018</v>
      </c>
      <c r="J41" s="41">
        <v>1.9</v>
      </c>
      <c r="K41" s="42">
        <v>0.5</v>
      </c>
      <c r="L41" s="56">
        <v>4.75</v>
      </c>
      <c r="M41" s="42">
        <v>0.5</v>
      </c>
      <c r="N41" s="56">
        <v>3.75</v>
      </c>
      <c r="O41" s="42">
        <v>0.5</v>
      </c>
      <c r="P41" s="56">
        <v>2.25</v>
      </c>
      <c r="Q41" s="42">
        <v>0.5</v>
      </c>
      <c r="R41" s="56">
        <v>1.75</v>
      </c>
      <c r="S41" s="42">
        <v>0.5</v>
      </c>
      <c r="T41" s="56">
        <v>0.5</v>
      </c>
      <c r="U41" s="42">
        <v>0.5</v>
      </c>
      <c r="AD41" s="90">
        <v>3.15</v>
      </c>
      <c r="AE41" s="93">
        <v>3.5</v>
      </c>
      <c r="AF41" s="1" t="s">
        <v>149</v>
      </c>
      <c r="AG41" s="1" t="s">
        <v>133</v>
      </c>
      <c r="AH41" s="74">
        <f t="shared" si="3"/>
        <v>0.8125</v>
      </c>
      <c r="AI41" s="78">
        <f t="shared" si="11"/>
        <v>6.2109375000000009</v>
      </c>
      <c r="AJ41" s="78">
        <f t="shared" si="12"/>
        <v>9.6603773584905639</v>
      </c>
      <c r="AK41" s="78">
        <f>60/Table371115[[#This Row],[kph+]]</f>
        <v>6.0377358490566024</v>
      </c>
    </row>
    <row r="42" spans="1:37" x14ac:dyDescent="0.2">
      <c r="A42" s="97">
        <v>1</v>
      </c>
      <c r="B42" s="105">
        <v>1</v>
      </c>
      <c r="C42" s="82" t="str">
        <f>IF(F42=F43,"",ROW()-SUM($C$23:$C41)-23)</f>
        <v/>
      </c>
      <c r="D42" s="31" t="s">
        <v>134</v>
      </c>
      <c r="F42" s="109">
        <f t="shared" si="4"/>
        <v>2.6500000000000004</v>
      </c>
      <c r="G42" s="79">
        <f t="shared" si="13"/>
        <v>15.55</v>
      </c>
      <c r="H42" s="80">
        <f t="shared" si="14"/>
        <v>13</v>
      </c>
      <c r="I42" s="81">
        <f t="shared" si="2"/>
        <v>10.225080385852092</v>
      </c>
      <c r="J42" s="41">
        <v>1.95</v>
      </c>
      <c r="K42" s="42">
        <v>0.55000000000000004</v>
      </c>
      <c r="L42" s="56">
        <v>5</v>
      </c>
      <c r="M42" s="42">
        <v>0.5</v>
      </c>
      <c r="N42" s="56">
        <v>3.75</v>
      </c>
      <c r="O42" s="42">
        <v>0.5</v>
      </c>
      <c r="P42" s="56">
        <v>2.25</v>
      </c>
      <c r="Q42" s="42">
        <v>0.5</v>
      </c>
      <c r="R42" s="56">
        <v>2</v>
      </c>
      <c r="S42" s="42">
        <v>0.5</v>
      </c>
      <c r="AD42" s="90">
        <v>3</v>
      </c>
      <c r="AE42" s="93">
        <v>3.5</v>
      </c>
      <c r="AF42" s="1" t="s">
        <v>149</v>
      </c>
      <c r="AG42" s="1" t="s">
        <v>131</v>
      </c>
      <c r="AH42" s="74">
        <f t="shared" si="3"/>
        <v>0.83601286173633438</v>
      </c>
      <c r="AI42" s="78">
        <f t="shared" si="11"/>
        <v>6.3906752411575578</v>
      </c>
      <c r="AJ42" s="78">
        <f t="shared" si="12"/>
        <v>9.3886792452830168</v>
      </c>
      <c r="AK42" s="78">
        <f>60/Table371115[[#This Row],[kph+]]</f>
        <v>5.8679245283018862</v>
      </c>
    </row>
    <row r="43" spans="1:37" x14ac:dyDescent="0.2">
      <c r="A43" s="97">
        <v>1</v>
      </c>
      <c r="B43" s="105">
        <v>1</v>
      </c>
      <c r="C43" s="82">
        <f>IF(F43=F44,"",ROW()-SUM($C$23:$C42)-23)</f>
        <v>7</v>
      </c>
      <c r="D43" s="31" t="s">
        <v>135</v>
      </c>
      <c r="F43" s="109">
        <f t="shared" si="4"/>
        <v>2.6500000000000004</v>
      </c>
      <c r="G43" s="79">
        <f t="shared" ref="G43:G45" si="15">SUM(K43:AC43)</f>
        <v>16.2</v>
      </c>
      <c r="H43" s="80">
        <f t="shared" ref="H43:H45" si="16">L43+N43+P43+R43+T43+V43+X43+Z43+AB43</f>
        <v>13.5</v>
      </c>
      <c r="I43" s="81">
        <f t="shared" ref="I43:I45" si="17">60*F43/G43</f>
        <v>9.8148148148148167</v>
      </c>
      <c r="J43" s="41">
        <v>2</v>
      </c>
      <c r="K43" s="42">
        <v>0.7</v>
      </c>
      <c r="L43" s="56">
        <v>5.25</v>
      </c>
      <c r="M43" s="42">
        <v>0.5</v>
      </c>
      <c r="N43" s="56">
        <v>4</v>
      </c>
      <c r="O43" s="42">
        <v>0.5</v>
      </c>
      <c r="P43" s="56">
        <v>2.25</v>
      </c>
      <c r="Q43" s="42">
        <v>0.5</v>
      </c>
      <c r="R43" s="56">
        <v>2</v>
      </c>
      <c r="S43" s="42">
        <v>0.5</v>
      </c>
      <c r="AD43" s="90">
        <v>3.5</v>
      </c>
      <c r="AE43" s="93">
        <v>3</v>
      </c>
      <c r="AF43" s="1" t="s">
        <v>149</v>
      </c>
      <c r="AG43" s="1" t="s">
        <v>136</v>
      </c>
      <c r="AH43" s="74">
        <f t="shared" si="3"/>
        <v>0.83333333333333337</v>
      </c>
      <c r="AI43" s="78">
        <f t="shared" si="11"/>
        <v>6.1342592592592604</v>
      </c>
      <c r="AJ43" s="78">
        <f t="shared" si="12"/>
        <v>9.7811320754716959</v>
      </c>
      <c r="AK43" s="78">
        <f>60/Table371115[[#This Row],[kph+]]</f>
        <v>6.11320754716981</v>
      </c>
    </row>
    <row r="44" spans="1:37" x14ac:dyDescent="0.2">
      <c r="B44" s="105">
        <v>2</v>
      </c>
      <c r="C44" s="82" t="str">
        <f>IF(F44=F45,"",ROW()-SUM($C$23:$C43)-23)</f>
        <v/>
      </c>
      <c r="D44" s="31" t="s">
        <v>137</v>
      </c>
      <c r="F44" s="109">
        <f t="shared" si="4"/>
        <v>3.1</v>
      </c>
      <c r="G44" s="79">
        <f t="shared" si="15"/>
        <v>16.75</v>
      </c>
      <c r="H44" s="80">
        <f t="shared" si="16"/>
        <v>14</v>
      </c>
      <c r="I44" s="81">
        <f t="shared" si="17"/>
        <v>11.104477611940299</v>
      </c>
      <c r="J44" s="41">
        <v>2.15</v>
      </c>
      <c r="K44" s="42">
        <v>0.5</v>
      </c>
      <c r="L44" s="56">
        <v>5.5</v>
      </c>
      <c r="M44" s="42">
        <v>0.5</v>
      </c>
      <c r="N44" s="56">
        <v>4</v>
      </c>
      <c r="O44" s="42">
        <v>0.5</v>
      </c>
      <c r="P44" s="56">
        <v>2.5</v>
      </c>
      <c r="Q44" s="42">
        <v>0.5</v>
      </c>
      <c r="R44" s="56">
        <v>2</v>
      </c>
      <c r="S44" s="42">
        <v>0.75</v>
      </c>
      <c r="AD44" s="90">
        <v>2.95</v>
      </c>
      <c r="AE44" s="93">
        <v>4</v>
      </c>
      <c r="AF44" s="1" t="s">
        <v>128</v>
      </c>
      <c r="AG44" s="1" t="s">
        <v>131</v>
      </c>
      <c r="AH44" s="74">
        <f t="shared" si="3"/>
        <v>0.83582089552238803</v>
      </c>
      <c r="AI44" s="78">
        <f t="shared" si="11"/>
        <v>6.9402985074626864</v>
      </c>
      <c r="AJ44" s="78">
        <f t="shared" si="12"/>
        <v>8.6451612903225801</v>
      </c>
      <c r="AK44" s="78">
        <f>60/Table371115[[#This Row],[kph+]]</f>
        <v>5.403225806451613</v>
      </c>
    </row>
    <row r="45" spans="1:37" x14ac:dyDescent="0.2">
      <c r="B45" s="105">
        <v>2</v>
      </c>
      <c r="C45" s="82">
        <f>IF(F45=F46,"",ROW()-SUM($C$23:$C44)-23)</f>
        <v>2</v>
      </c>
      <c r="D45" s="31" t="s">
        <v>138</v>
      </c>
      <c r="F45" s="109">
        <f t="shared" si="4"/>
        <v>3.1</v>
      </c>
      <c r="G45" s="79">
        <f t="shared" si="15"/>
        <v>17.25</v>
      </c>
      <c r="H45" s="80">
        <f t="shared" si="16"/>
        <v>14.5</v>
      </c>
      <c r="I45" s="81">
        <f t="shared" si="17"/>
        <v>10.782608695652174</v>
      </c>
      <c r="J45" s="41">
        <v>1.85</v>
      </c>
      <c r="K45" s="42">
        <v>0.5</v>
      </c>
      <c r="L45" s="56">
        <v>5.75</v>
      </c>
      <c r="M45" s="42">
        <v>0.5</v>
      </c>
      <c r="N45" s="56">
        <v>4.25</v>
      </c>
      <c r="O45" s="42">
        <v>0.5</v>
      </c>
      <c r="P45" s="56">
        <v>2.5</v>
      </c>
      <c r="Q45" s="42">
        <v>0.5</v>
      </c>
      <c r="R45" s="56">
        <v>2</v>
      </c>
      <c r="S45" s="42">
        <v>0.75</v>
      </c>
      <c r="AD45" s="90">
        <v>2.9</v>
      </c>
      <c r="AE45" s="93">
        <v>3.5</v>
      </c>
      <c r="AF45" s="1" t="s">
        <v>128</v>
      </c>
      <c r="AG45" s="1" t="s">
        <v>139</v>
      </c>
      <c r="AH45" s="74">
        <f t="shared" si="3"/>
        <v>0.84057971014492749</v>
      </c>
      <c r="AI45" s="78">
        <f t="shared" si="11"/>
        <v>6.7391304347826084</v>
      </c>
      <c r="AJ45" s="78">
        <f t="shared" si="12"/>
        <v>8.9032258064516139</v>
      </c>
      <c r="AK45" s="78">
        <f>60/Table371115[[#This Row],[kph+]]</f>
        <v>5.564516129032258</v>
      </c>
    </row>
    <row r="46" spans="1:37" x14ac:dyDescent="0.2">
      <c r="C46" s="36"/>
    </row>
  </sheetData>
  <conditionalFormatting sqref="X2:X22 Z2:Z22 AB2:AB22 L2:L22 N2:N22 P2:V22 AB25:AB36 Z25:Z36 X25:X36 L25:L36 N25:N36 P25:V36 AB38:AB45 AB47:AB1048576 Z38:Z45 Z47:Z1048576 X38:X45 X47:X1048576 P38:V45 P47:V1048576 L38:L45 L47:L1048576 N38:N45 N47:N1048576">
    <cfRule type="expression" dxfId="28" priority="10">
      <formula>L2&gt;L1</formula>
    </cfRule>
  </conditionalFormatting>
  <conditionalFormatting sqref="W2:W22 Y2:Y22 AA2:AA22 K2:K22 M2:M22 O2:O22 AC2:AC22 AA25:AA36 Y25:Y36 W25:W36 AC25:AC36 U25:U36 S25:S36 K25:K36 M25:M36 O25:O36 Q25:Q36 AA38:AA45 AA47:AA1048576 Y38:Y45 Y47:Y1048576 W38:W45 W47:W1048576 AC38:AC45 AC47:AC1048576 U38:U45 U47:U1048576 S38:S45 S47:S1048576 Q38:Q45 Q47:Q1048576 K38:K45 K47:K1048576 M38:M45 M47:M1048576 O38:O45 O47:O1048576">
    <cfRule type="expression" dxfId="27" priority="9">
      <formula>K2&lt;K1</formula>
    </cfRule>
  </conditionalFormatting>
  <conditionalFormatting sqref="S2:S22 U2:U22 Q2:Q22">
    <cfRule type="expression" dxfId="26" priority="8">
      <formula>Q2&lt;Q1</formula>
    </cfRule>
  </conditionalFormatting>
  <conditionalFormatting sqref="AB23:AB24 Z23:Z24 X23:X24 L23:L24 N23:N24 P23:V24">
    <cfRule type="expression" dxfId="25" priority="7">
      <formula>L23&gt;#REF!</formula>
    </cfRule>
  </conditionalFormatting>
  <conditionalFormatting sqref="AA23:AA24 Y23:Y24 W23:W24 AC23:AC24 U23:U24 S23:S24 Q23:Q24 K23:K24 M23:M24 O23:O24">
    <cfRule type="expression" dxfId="24" priority="6">
      <formula>K23&lt;#REF!</formula>
    </cfRule>
  </conditionalFormatting>
  <conditionalFormatting sqref="AB24 Z24 X24 P24:V24 N24 L24">
    <cfRule type="expression" dxfId="23" priority="5">
      <formula>L24&gt;L23</formula>
    </cfRule>
  </conditionalFormatting>
  <conditionalFormatting sqref="AA24 Y24 W24 AC24 U24 S24 O24 Q24 K24 M24">
    <cfRule type="expression" dxfId="22" priority="4">
      <formula>K24&lt;K23</formula>
    </cfRule>
  </conditionalFormatting>
  <conditionalFormatting sqref="AB25 Z25 X25 P25:V25 L25:L26 N25:N26 P26:Q26">
    <cfRule type="expression" dxfId="21" priority="3">
      <formula>L25&gt;L24</formula>
    </cfRule>
  </conditionalFormatting>
  <conditionalFormatting sqref="AA25 Y25 W25 AC25 U25 S25 K25:K26 M25:M26 O25:O26 Q25:Q26">
    <cfRule type="expression" dxfId="20" priority="2">
      <formula>K25&lt;K24</formula>
    </cfRule>
  </conditionalFormatting>
  <conditionalFormatting sqref="AD22">
    <cfRule type="expression" dxfId="19" priority="1">
      <formula>AD22&gt;AD21</formula>
    </cfRule>
  </conditionalFormatting>
  <conditionalFormatting sqref="AB37 Z37 X37 P37:V37 N37 L37">
    <cfRule type="expression" dxfId="18" priority="13">
      <formula>L37&gt;#REF!</formula>
    </cfRule>
  </conditionalFormatting>
  <conditionalFormatting sqref="AA37 Y37 W37 AC37 U37 S37 O37 Q37 K37 M37">
    <cfRule type="expression" dxfId="17" priority="37">
      <formula>K37&lt;#REF!</formula>
    </cfRule>
  </conditionalFormatting>
  <conditionalFormatting sqref="AB46 Z46 X46 P46:V46 L46 N46">
    <cfRule type="expression" dxfId="16" priority="40">
      <formula>L46&gt;#REF!</formula>
    </cfRule>
  </conditionalFormatting>
  <conditionalFormatting sqref="AA46 Y46 W46 AC46 U46 S46 Q46 K46 M46 O46">
    <cfRule type="expression" dxfId="15" priority="64">
      <formula>K46&lt;#REF!</formula>
    </cfRule>
  </conditionalFormatting>
  <pageMargins left="0.7" right="0.7" top="0.75" bottom="0.75" header="0.3" footer="0.3"/>
  <pageSetup paperSize="9" orientation="portrait"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AB42"/>
  <sheetViews>
    <sheetView zoomScale="78" zoomScaleNormal="78" workbookViewId="0"/>
  </sheetViews>
  <sheetFormatPr defaultRowHeight="12.75" x14ac:dyDescent="0.2"/>
  <cols>
    <col min="1" max="1" width="11.85546875" style="4" customWidth="1"/>
    <col min="2" max="2" width="6.140625" style="4" customWidth="1"/>
    <col min="3" max="3" width="9.140625" style="4"/>
    <col min="4" max="5" width="7.140625" style="4" customWidth="1"/>
    <col min="6" max="6" width="6.85546875" style="5" customWidth="1"/>
    <col min="7" max="7" width="13" style="4" customWidth="1"/>
    <col min="8" max="8" width="6.7109375" style="4" customWidth="1"/>
    <col min="9" max="9" width="7.7109375" style="4" customWidth="1"/>
    <col min="10" max="10" width="6.28515625" style="4" customWidth="1"/>
    <col min="11" max="11" width="5.5703125" style="4" customWidth="1"/>
    <col min="12" max="13" width="9.140625" style="4"/>
    <col min="14" max="14" width="6.28515625" style="4" customWidth="1"/>
    <col min="15" max="15" width="6.7109375" style="4" customWidth="1"/>
    <col min="16" max="16" width="6.28515625" style="4" customWidth="1"/>
    <col min="17" max="17" width="2.140625" style="4" customWidth="1"/>
    <col min="18" max="18" width="6.42578125" style="4" customWidth="1"/>
    <col min="19" max="19" width="8.5703125" style="4" customWidth="1"/>
    <col min="20" max="20" width="6.42578125" style="4" customWidth="1"/>
    <col min="21" max="21" width="5.5703125" style="4" customWidth="1"/>
    <col min="22" max="22" width="6.5703125" style="4" customWidth="1"/>
    <col min="23" max="23" width="6.28515625" style="4" customWidth="1"/>
    <col min="24" max="24" width="5.7109375" style="4" customWidth="1"/>
    <col min="25" max="25" width="5.85546875" style="4" customWidth="1"/>
    <col min="26" max="26" width="6.85546875" style="4" customWidth="1"/>
    <col min="27" max="27" width="6.5703125" style="4" customWidth="1"/>
    <col min="28" max="28" width="9.140625" style="21"/>
    <col min="29" max="29" width="6" style="4" customWidth="1"/>
    <col min="30" max="16384" width="9.140625" style="4"/>
  </cols>
  <sheetData>
    <row r="1" spans="1:19" ht="12.75" customHeight="1" x14ac:dyDescent="0.2">
      <c r="A1" s="58" t="s">
        <v>2</v>
      </c>
      <c r="B1" s="58"/>
      <c r="C1" s="58"/>
      <c r="D1" s="58"/>
      <c r="E1" s="58"/>
      <c r="F1" s="59"/>
      <c r="G1" s="58"/>
      <c r="H1" s="60"/>
      <c r="I1" s="3"/>
      <c r="J1" s="3"/>
      <c r="K1" s="3"/>
      <c r="L1" s="3"/>
      <c r="M1" s="3"/>
      <c r="N1" s="3"/>
      <c r="O1" s="3"/>
      <c r="P1" s="3"/>
      <c r="Q1" s="3"/>
      <c r="R1" s="3"/>
      <c r="S1" s="3"/>
    </row>
    <row r="2" spans="1:19" x14ac:dyDescent="0.2">
      <c r="A2" s="120" t="s">
        <v>1</v>
      </c>
      <c r="B2" s="123" t="s">
        <v>3</v>
      </c>
      <c r="C2" s="124"/>
      <c r="D2" s="61" t="s">
        <v>4</v>
      </c>
      <c r="E2" s="61"/>
      <c r="F2" s="62"/>
      <c r="G2" s="58" t="s">
        <v>5</v>
      </c>
      <c r="H2" s="60"/>
      <c r="I2" s="3"/>
      <c r="J2" s="27" t="s">
        <v>93</v>
      </c>
      <c r="K2" s="3"/>
      <c r="L2" s="3"/>
      <c r="M2" s="3"/>
      <c r="N2" s="3"/>
      <c r="O2" s="3"/>
      <c r="P2" s="3"/>
      <c r="Q2" s="3"/>
      <c r="R2" s="3"/>
      <c r="S2" s="3"/>
    </row>
    <row r="3" spans="1:19" x14ac:dyDescent="0.2">
      <c r="A3" s="121"/>
      <c r="B3" s="125"/>
      <c r="C3" s="126"/>
      <c r="D3" s="61" t="s">
        <v>6</v>
      </c>
      <c r="E3" s="61"/>
      <c r="F3" s="62"/>
      <c r="G3" s="58" t="s">
        <v>6</v>
      </c>
      <c r="H3" s="60">
        <f>40*2.54</f>
        <v>101.6</v>
      </c>
      <c r="J3" s="3"/>
      <c r="K3" s="3"/>
      <c r="L3" s="4" t="s">
        <v>25</v>
      </c>
      <c r="M3" s="2" t="s">
        <v>26</v>
      </c>
      <c r="N3" s="3"/>
      <c r="O3" s="3"/>
      <c r="P3" s="3"/>
      <c r="Q3" s="3"/>
      <c r="R3" s="3"/>
      <c r="S3" s="3"/>
    </row>
    <row r="4" spans="1:19" x14ac:dyDescent="0.2">
      <c r="A4" s="122"/>
      <c r="B4" s="125"/>
      <c r="C4" s="126"/>
      <c r="D4" s="61" t="s">
        <v>7</v>
      </c>
      <c r="E4" s="61"/>
      <c r="F4" s="62"/>
      <c r="G4" s="58" t="s">
        <v>7</v>
      </c>
      <c r="H4" s="60">
        <f>35*2.54</f>
        <v>88.9</v>
      </c>
      <c r="J4" s="3"/>
      <c r="K4" s="3"/>
      <c r="L4" s="4">
        <v>94</v>
      </c>
      <c r="M4" s="4">
        <f t="shared" ref="M4:M10" si="0">+L4/2.54</f>
        <v>37.00787401574803</v>
      </c>
      <c r="N4" s="3"/>
      <c r="O4" s="3"/>
      <c r="P4" s="3"/>
      <c r="Q4" s="3"/>
      <c r="R4" s="3"/>
      <c r="S4" s="3"/>
    </row>
    <row r="5" spans="1:19" ht="25.5" customHeight="1" x14ac:dyDescent="0.2">
      <c r="A5" s="6" t="s">
        <v>8</v>
      </c>
      <c r="B5" s="125" t="s">
        <v>9</v>
      </c>
      <c r="C5" s="126"/>
      <c r="D5" s="61" t="s">
        <v>10</v>
      </c>
      <c r="E5" s="61"/>
      <c r="F5" s="62"/>
      <c r="G5" s="58" t="s">
        <v>11</v>
      </c>
      <c r="H5" s="60"/>
      <c r="J5" s="3"/>
      <c r="K5" s="3"/>
      <c r="L5" s="4">
        <v>93</v>
      </c>
      <c r="M5" s="4">
        <f t="shared" si="0"/>
        <v>36.614173228346459</v>
      </c>
      <c r="N5" s="3"/>
      <c r="O5" s="3"/>
      <c r="P5" s="3"/>
      <c r="Q5" s="3"/>
      <c r="R5" s="3"/>
      <c r="S5" s="3"/>
    </row>
    <row r="6" spans="1:19" ht="12.75" customHeight="1" x14ac:dyDescent="0.2">
      <c r="A6" s="6" t="s">
        <v>12</v>
      </c>
      <c r="B6" s="125" t="s">
        <v>13</v>
      </c>
      <c r="C6" s="126"/>
      <c r="D6" s="61" t="s">
        <v>10</v>
      </c>
      <c r="E6" s="61"/>
      <c r="F6" s="62"/>
      <c r="G6" s="58" t="s">
        <v>11</v>
      </c>
      <c r="H6" s="60"/>
      <c r="J6" s="3"/>
      <c r="K6" s="3"/>
      <c r="L6" s="4">
        <v>92</v>
      </c>
      <c r="M6" s="4">
        <f t="shared" si="0"/>
        <v>36.220472440944881</v>
      </c>
      <c r="N6" s="3"/>
      <c r="O6" s="3"/>
      <c r="P6" s="3"/>
      <c r="Q6" s="3"/>
      <c r="R6" s="3"/>
      <c r="S6" s="3"/>
    </row>
    <row r="7" spans="1:19" ht="12.75" customHeight="1" x14ac:dyDescent="0.2">
      <c r="A7" s="6" t="s">
        <v>14</v>
      </c>
      <c r="B7" s="125" t="s">
        <v>15</v>
      </c>
      <c r="C7" s="126"/>
      <c r="D7" s="61" t="s">
        <v>16</v>
      </c>
      <c r="E7" s="61"/>
      <c r="F7" s="62"/>
      <c r="G7" s="58" t="s">
        <v>17</v>
      </c>
      <c r="H7" s="60"/>
      <c r="J7" s="3"/>
      <c r="K7" s="3"/>
      <c r="L7" s="4">
        <v>91</v>
      </c>
      <c r="M7" s="4">
        <f t="shared" si="0"/>
        <v>35.826771653543304</v>
      </c>
      <c r="N7" s="3"/>
      <c r="O7" s="3"/>
      <c r="P7" s="3"/>
      <c r="Q7" s="3"/>
      <c r="R7" s="3"/>
      <c r="S7" s="3"/>
    </row>
    <row r="8" spans="1:19" ht="12.75" customHeight="1" x14ac:dyDescent="0.2">
      <c r="A8" s="6" t="s">
        <v>18</v>
      </c>
      <c r="B8" s="125" t="s">
        <v>19</v>
      </c>
      <c r="C8" s="126"/>
      <c r="D8" s="61" t="s">
        <v>17</v>
      </c>
      <c r="E8" s="61"/>
      <c r="F8" s="62"/>
      <c r="G8" s="58" t="s">
        <v>20</v>
      </c>
      <c r="H8" s="60"/>
      <c r="J8" s="3"/>
      <c r="K8" s="3"/>
      <c r="L8" s="4">
        <v>90</v>
      </c>
      <c r="M8" s="4">
        <f t="shared" si="0"/>
        <v>35.433070866141733</v>
      </c>
      <c r="N8" s="3"/>
      <c r="O8" s="3"/>
      <c r="P8" s="3"/>
      <c r="Q8" s="3"/>
      <c r="R8" s="3"/>
      <c r="S8" s="3"/>
    </row>
    <row r="9" spans="1:19" ht="12.75" customHeight="1" x14ac:dyDescent="0.2">
      <c r="A9" s="6" t="s">
        <v>21</v>
      </c>
      <c r="B9" s="125" t="s">
        <v>19</v>
      </c>
      <c r="C9" s="126"/>
      <c r="D9" s="61" t="s">
        <v>20</v>
      </c>
      <c r="E9" s="61"/>
      <c r="F9" s="62"/>
      <c r="G9" s="58" t="s">
        <v>20</v>
      </c>
      <c r="H9" s="60"/>
      <c r="J9" s="3"/>
      <c r="K9" s="3"/>
      <c r="M9" s="4">
        <f t="shared" si="0"/>
        <v>0</v>
      </c>
      <c r="N9" s="3"/>
      <c r="O9" s="3"/>
      <c r="P9" s="3"/>
      <c r="Q9" s="3"/>
      <c r="R9" s="3"/>
      <c r="S9" s="3"/>
    </row>
    <row r="10" spans="1:19" ht="25.5" customHeight="1" x14ac:dyDescent="0.2">
      <c r="A10" s="6" t="s">
        <v>22</v>
      </c>
      <c r="B10" s="125" t="s">
        <v>23</v>
      </c>
      <c r="C10" s="126"/>
      <c r="D10" s="61" t="s">
        <v>24</v>
      </c>
      <c r="E10" s="61"/>
      <c r="F10" s="62"/>
      <c r="G10" s="58" t="s">
        <v>24</v>
      </c>
      <c r="H10" s="60"/>
      <c r="L10" s="4">
        <v>95.5</v>
      </c>
      <c r="M10" s="4">
        <f t="shared" si="0"/>
        <v>37.598425196850393</v>
      </c>
      <c r="S10" s="3"/>
    </row>
    <row r="11" spans="1:19" x14ac:dyDescent="0.2">
      <c r="A11" s="63" t="s">
        <v>93</v>
      </c>
      <c r="B11" s="64" t="s">
        <v>94</v>
      </c>
      <c r="C11" s="64">
        <f>(5*12+6)*0.0254</f>
        <v>1.6763999999999999</v>
      </c>
      <c r="D11" s="65"/>
      <c r="E11" s="65">
        <f>G20</f>
        <v>69.599999999999994</v>
      </c>
      <c r="F11" s="66"/>
      <c r="G11" s="67" t="s">
        <v>95</v>
      </c>
      <c r="H11" s="68">
        <f>E11/C11^2</f>
        <v>24.76588975216518</v>
      </c>
      <c r="S11" s="3"/>
    </row>
    <row r="13" spans="1:19" x14ac:dyDescent="0.2">
      <c r="A13" s="22" t="s">
        <v>60</v>
      </c>
    </row>
    <row r="16" spans="1:19" ht="50.25" customHeight="1" x14ac:dyDescent="0.2">
      <c r="A16" s="127" t="s">
        <v>27</v>
      </c>
      <c r="B16" s="127"/>
      <c r="C16" s="127"/>
      <c r="D16" s="127"/>
      <c r="E16" s="127"/>
      <c r="F16" s="127"/>
      <c r="G16" s="127"/>
      <c r="H16" s="127"/>
      <c r="I16" s="128"/>
      <c r="J16" s="128"/>
      <c r="K16" s="128"/>
    </row>
    <row r="17" spans="1:12" ht="14.25" x14ac:dyDescent="0.2">
      <c r="A17" s="11" t="s">
        <v>28</v>
      </c>
      <c r="B17" s="129" t="s">
        <v>29</v>
      </c>
      <c r="C17" s="130"/>
      <c r="D17" s="12"/>
      <c r="E17" s="12"/>
      <c r="F17" s="13"/>
      <c r="G17" s="14" t="s">
        <v>56</v>
      </c>
      <c r="H17" s="15" t="s">
        <v>57</v>
      </c>
      <c r="I17" s="131" t="s">
        <v>30</v>
      </c>
      <c r="J17" s="132"/>
      <c r="K17" s="12"/>
      <c r="L17" s="13"/>
    </row>
    <row r="18" spans="1:12" ht="15" customHeight="1" x14ac:dyDescent="0.2">
      <c r="A18" s="26" t="s">
        <v>31</v>
      </c>
      <c r="B18" s="116" t="s">
        <v>32</v>
      </c>
      <c r="C18" s="117"/>
      <c r="D18" s="16"/>
      <c r="E18" s="16"/>
      <c r="F18" s="17"/>
      <c r="G18" s="18" t="s">
        <v>58</v>
      </c>
      <c r="H18" s="18"/>
      <c r="I18" s="118" t="s">
        <v>32</v>
      </c>
      <c r="J18" s="119"/>
      <c r="K18" s="16"/>
      <c r="L18" s="17"/>
    </row>
    <row r="19" spans="1:12" ht="15.75" customHeight="1" x14ac:dyDescent="0.2">
      <c r="A19" s="23" t="s">
        <v>33</v>
      </c>
      <c r="B19" s="115" t="s">
        <v>34</v>
      </c>
      <c r="C19" s="112"/>
      <c r="D19" s="112"/>
      <c r="E19" s="112"/>
      <c r="F19" s="112"/>
      <c r="G19" s="10"/>
      <c r="H19" s="10"/>
      <c r="I19" s="115" t="s">
        <v>35</v>
      </c>
      <c r="J19" s="112"/>
      <c r="K19" s="112"/>
      <c r="L19" s="112"/>
    </row>
    <row r="20" spans="1:12" ht="15.75" customHeight="1" x14ac:dyDescent="0.2">
      <c r="A20" s="23" t="s">
        <v>36</v>
      </c>
      <c r="B20" s="115" t="s">
        <v>37</v>
      </c>
      <c r="C20" s="112"/>
      <c r="D20" s="112"/>
      <c r="E20" s="112"/>
      <c r="F20" s="112"/>
      <c r="G20" s="10">
        <v>69.599999999999994</v>
      </c>
      <c r="H20" s="10"/>
      <c r="I20" s="115" t="s">
        <v>38</v>
      </c>
      <c r="J20" s="112"/>
      <c r="K20" s="112"/>
      <c r="L20" s="112"/>
    </row>
    <row r="21" spans="1:12" ht="15.75" customHeight="1" x14ac:dyDescent="0.2">
      <c r="A21" s="23" t="s">
        <v>39</v>
      </c>
      <c r="B21" s="115" t="s">
        <v>40</v>
      </c>
      <c r="C21" s="112"/>
      <c r="D21" s="112"/>
      <c r="E21" s="112"/>
      <c r="F21" s="112"/>
      <c r="G21" s="10"/>
      <c r="H21" s="10"/>
      <c r="I21" s="115" t="s">
        <v>41</v>
      </c>
      <c r="J21" s="112"/>
      <c r="K21" s="112"/>
      <c r="L21" s="112"/>
    </row>
    <row r="22" spans="1:12" ht="15.75" customHeight="1" x14ac:dyDescent="0.2">
      <c r="A22" s="23" t="s">
        <v>42</v>
      </c>
      <c r="B22" s="115" t="s">
        <v>43</v>
      </c>
      <c r="C22" s="112"/>
      <c r="D22" s="112"/>
      <c r="E22" s="112"/>
      <c r="F22" s="112"/>
      <c r="G22" s="10"/>
      <c r="H22" s="10"/>
      <c r="I22" s="115" t="s">
        <v>44</v>
      </c>
      <c r="J22" s="112"/>
      <c r="K22" s="112"/>
      <c r="L22" s="112"/>
    </row>
    <row r="23" spans="1:12" ht="15" x14ac:dyDescent="0.2">
      <c r="A23" s="7"/>
      <c r="B23"/>
      <c r="C23"/>
      <c r="D23"/>
      <c r="E23"/>
      <c r="F23"/>
    </row>
    <row r="24" spans="1:12" ht="15" x14ac:dyDescent="0.2">
      <c r="A24" s="9" t="s">
        <v>59</v>
      </c>
      <c r="B24"/>
      <c r="C24"/>
      <c r="D24"/>
      <c r="E24"/>
      <c r="F24"/>
    </row>
    <row r="25" spans="1:12" ht="15" x14ac:dyDescent="0.2">
      <c r="A25" s="8">
        <f>NOT(ISBLANK(G19))*(15.1)+NOT(ISBLANK(G20))*(11.5)+NOT(ISBLANK(G21))*(11.9)+NOT(ISBLANK(G22))*(8.41)+NOT(ISBLANK(H19))*(14.8)+NOT(ISBLANK(H20))*(8.3)+NOT(ISBLANK(H21))*(9.2)+NOT(ISBLANK(H22))*(9.8)</f>
        <v>11.5</v>
      </c>
      <c r="B25">
        <f>SUM(G19:H22)</f>
        <v>69.599999999999994</v>
      </c>
      <c r="C25">
        <f>NOT(ISBLANK(G19))*(692)+NOT(ISBLANK(G20))*(873)+NOT(ISBLANK(G21))*(700)+NOT(ISBLANK(G22))*(821)+NOT(ISBLANK(H19))*(487)+NOT(ISBLANK(H20))*(846)+NOT(ISBLANK(H21))*(687)+NOT(ISBLANK(H22))*(624)</f>
        <v>873</v>
      </c>
      <c r="F25">
        <f>+A25*B25+C25</f>
        <v>1673.4</v>
      </c>
      <c r="I25" s="4">
        <f>NOT(ISBLANK(G19))*(G19*15.1+692)+NOT(ISBLANK(G20))*(G20*11.5+873)+NOT(ISBLANK(G21))*(G21*11.9+700)+NOT(ISBLANK(G22))*(G22*8.41+821)+NOT(ISBLANK(H19))*(H19*14.8+487)+NOT(ISBLANK(H20))*(H20*8.3+846)+NOT(ISBLANK(H21))*(H21*9.2+687)+NOT(ISBLANK(H22))*(H22*9.8+624)</f>
        <v>1673.4</v>
      </c>
    </row>
    <row r="26" spans="1:12" ht="15" x14ac:dyDescent="0.2">
      <c r="A26" s="8"/>
      <c r="B26"/>
      <c r="C26"/>
      <c r="D26"/>
      <c r="E26"/>
      <c r="F26"/>
    </row>
    <row r="27" spans="1:12" ht="12.75" customHeight="1" x14ac:dyDescent="0.2">
      <c r="A27" s="111" t="s">
        <v>45</v>
      </c>
      <c r="B27" s="112"/>
      <c r="C27" s="111" t="s">
        <v>46</v>
      </c>
      <c r="D27" s="112"/>
      <c r="E27" s="24"/>
      <c r="F27" s="19"/>
    </row>
    <row r="28" spans="1:12" ht="12.75" customHeight="1" x14ac:dyDescent="0.2">
      <c r="A28" s="111" t="s">
        <v>47</v>
      </c>
      <c r="B28" s="112"/>
      <c r="C28" s="113">
        <v>1.4</v>
      </c>
      <c r="D28" s="114"/>
      <c r="E28" s="25"/>
      <c r="F28" s="10"/>
    </row>
    <row r="29" spans="1:12" ht="12.75" customHeight="1" x14ac:dyDescent="0.2">
      <c r="A29" s="111" t="s">
        <v>48</v>
      </c>
      <c r="B29" s="112"/>
      <c r="C29" s="113">
        <v>1.6</v>
      </c>
      <c r="D29" s="114"/>
      <c r="E29" s="25"/>
      <c r="F29" s="10">
        <v>1</v>
      </c>
    </row>
    <row r="30" spans="1:12" ht="12.75" customHeight="1" x14ac:dyDescent="0.2">
      <c r="A30" s="111" t="s">
        <v>49</v>
      </c>
      <c r="B30" s="112"/>
      <c r="C30" s="113">
        <v>1.7</v>
      </c>
      <c r="D30" s="114"/>
      <c r="E30" s="25"/>
      <c r="F30" s="10"/>
    </row>
    <row r="31" spans="1:12" ht="12.75" customHeight="1" x14ac:dyDescent="0.2">
      <c r="A31" s="111" t="s">
        <v>50</v>
      </c>
      <c r="B31" s="112"/>
      <c r="C31" s="113">
        <v>1.8</v>
      </c>
      <c r="D31" s="114"/>
      <c r="E31" s="25"/>
      <c r="F31" s="10"/>
    </row>
    <row r="32" spans="1:12" ht="12.75" customHeight="1" x14ac:dyDescent="0.2">
      <c r="A32" s="111" t="s">
        <v>51</v>
      </c>
      <c r="B32" s="112"/>
      <c r="C32" s="113">
        <v>1.9</v>
      </c>
      <c r="D32" s="114"/>
      <c r="E32" s="25"/>
      <c r="F32" s="10"/>
    </row>
    <row r="33" spans="1:6" x14ac:dyDescent="0.2">
      <c r="A33" s="20" t="s">
        <v>52</v>
      </c>
      <c r="B33"/>
      <c r="C33"/>
      <c r="D33"/>
      <c r="E33"/>
      <c r="F33"/>
    </row>
    <row r="34" spans="1:6" x14ac:dyDescent="0.2">
      <c r="B34"/>
      <c r="C34"/>
      <c r="D34"/>
      <c r="E34"/>
      <c r="F34"/>
    </row>
    <row r="35" spans="1:6" ht="15" x14ac:dyDescent="0.2">
      <c r="A35" s="9" t="s">
        <v>53</v>
      </c>
      <c r="B35"/>
      <c r="C35"/>
      <c r="D35"/>
      <c r="E35"/>
      <c r="F35"/>
    </row>
    <row r="36" spans="1:6" ht="15" x14ac:dyDescent="0.2">
      <c r="A36" s="9"/>
      <c r="B36"/>
      <c r="C36"/>
      <c r="D36"/>
      <c r="E36"/>
      <c r="F36"/>
    </row>
    <row r="37" spans="1:6" ht="15" x14ac:dyDescent="0.2">
      <c r="A37" s="9" t="s">
        <v>54</v>
      </c>
      <c r="B37"/>
      <c r="C37"/>
      <c r="D37"/>
      <c r="E37"/>
      <c r="F37"/>
    </row>
    <row r="38" spans="1:6" ht="15" x14ac:dyDescent="0.2">
      <c r="A38" s="9">
        <f>F25</f>
        <v>1673.4</v>
      </c>
      <c r="B38">
        <f>NOT(ISBLANK(F28))*(1.4)+NOT(ISBLANK(F29))*(1.6)+NOT(ISBLANK(F30))*(1.7)+NOT(ISBLANK(F31))*(1.8)+NOT(ISBLANK(F32))*(1.9)</f>
        <v>1.6</v>
      </c>
      <c r="D38">
        <f>+A38*B38</f>
        <v>2677.4400000000005</v>
      </c>
      <c r="E38"/>
      <c r="F38"/>
    </row>
    <row r="39" spans="1:6" ht="15" x14ac:dyDescent="0.2">
      <c r="A39" s="9"/>
      <c r="B39"/>
      <c r="C39"/>
      <c r="D39"/>
      <c r="E39"/>
      <c r="F39"/>
    </row>
    <row r="40" spans="1:6" ht="15" x14ac:dyDescent="0.2">
      <c r="A40" s="9" t="s">
        <v>55</v>
      </c>
      <c r="B40"/>
      <c r="C40"/>
      <c r="D40"/>
      <c r="E40"/>
      <c r="F40"/>
    </row>
    <row r="41" spans="1:6" ht="15" x14ac:dyDescent="0.2">
      <c r="A41" s="7"/>
      <c r="B41"/>
      <c r="C41"/>
      <c r="D41"/>
      <c r="E41"/>
      <c r="F41"/>
    </row>
    <row r="42" spans="1:6" x14ac:dyDescent="0.2">
      <c r="A42"/>
      <c r="B42"/>
      <c r="C42"/>
      <c r="D42"/>
      <c r="E42"/>
      <c r="F42"/>
    </row>
  </sheetData>
  <mergeCells count="33">
    <mergeCell ref="B18:C18"/>
    <mergeCell ref="I18:J18"/>
    <mergeCell ref="A2:A4"/>
    <mergeCell ref="B2:C4"/>
    <mergeCell ref="B5:C5"/>
    <mergeCell ref="B6:C6"/>
    <mergeCell ref="B7:C7"/>
    <mergeCell ref="B8:C8"/>
    <mergeCell ref="B9:C9"/>
    <mergeCell ref="B10:C10"/>
    <mergeCell ref="A16:K16"/>
    <mergeCell ref="B17:C17"/>
    <mergeCell ref="I17:J17"/>
    <mergeCell ref="B19:F19"/>
    <mergeCell ref="I19:L19"/>
    <mergeCell ref="B20:F20"/>
    <mergeCell ref="I20:L20"/>
    <mergeCell ref="B21:F21"/>
    <mergeCell ref="I21:L21"/>
    <mergeCell ref="B22:F22"/>
    <mergeCell ref="I22:L22"/>
    <mergeCell ref="A27:B27"/>
    <mergeCell ref="C27:D27"/>
    <mergeCell ref="A28:B28"/>
    <mergeCell ref="C28:D28"/>
    <mergeCell ref="A32:B32"/>
    <mergeCell ref="C32:D32"/>
    <mergeCell ref="A29:B29"/>
    <mergeCell ref="C29:D29"/>
    <mergeCell ref="A30:B30"/>
    <mergeCell ref="C30:D30"/>
    <mergeCell ref="A31:B31"/>
    <mergeCell ref="C31:D31"/>
  </mergeCells>
  <conditionalFormatting sqref="A1:C1">
    <cfRule type="cellIs" dxfId="5" priority="27" stopIfTrue="1" operator="greaterThan">
      <formula>60</formula>
    </cfRule>
    <cfRule type="cellIs" dxfId="4" priority="28" stopIfTrue="1" operator="greaterThan">
      <formula>40</formula>
    </cfRule>
    <cfRule type="cellIs" dxfId="3" priority="29" stopIfTrue="1" operator="greaterThan">
      <formula>25</formula>
    </cfRule>
  </conditionalFormatting>
  <conditionalFormatting sqref="D1:E1">
    <cfRule type="cellIs" dxfId="2" priority="21" stopIfTrue="1" operator="greaterThan">
      <formula>50</formula>
    </cfRule>
    <cfRule type="cellIs" dxfId="1" priority="22" stopIfTrue="1" operator="greaterThan">
      <formula>35</formula>
    </cfRule>
    <cfRule type="cellIs" dxfId="0" priority="23" stopIfTrue="1" operator="greaterThan">
      <formula>25</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7473" r:id="rId4" name="Button 1">
              <controlPr defaultSize="0" print="0" autoFill="0" autoPict="0" macro="[0]!New_Health_Line">
                <anchor moveWithCells="1" sizeWithCells="1">
                  <from>
                    <xdr:col>8</xdr:col>
                    <xdr:colOff>0</xdr:colOff>
                    <xdr:row>0</xdr:row>
                    <xdr:rowOff>0</xdr:rowOff>
                  </from>
                  <to>
                    <xdr:col>8</xdr:col>
                    <xdr:colOff>342900</xdr:colOff>
                    <xdr:row>0</xdr:row>
                    <xdr:rowOff>0</xdr:rowOff>
                  </to>
                </anchor>
              </controlPr>
            </control>
          </mc:Choice>
        </mc:AlternateContent>
        <mc:AlternateContent xmlns:mc="http://schemas.openxmlformats.org/markup-compatibility/2006">
          <mc:Choice Requires="x14">
            <control shapeId="617474" r:id="rId5" name="Button 2">
              <controlPr defaultSize="0" print="0" autoFill="0" autoPict="0" macro="[0]!New_Health_Line">
                <anchor moveWithCells="1" sizeWithCells="1">
                  <from>
                    <xdr:col>8</xdr:col>
                    <xdr:colOff>0</xdr:colOff>
                    <xdr:row>0</xdr:row>
                    <xdr:rowOff>0</xdr:rowOff>
                  </from>
                  <to>
                    <xdr:col>8</xdr:col>
                    <xdr:colOff>342900</xdr:colOff>
                    <xdr:row>0</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Training</vt:lpstr>
      <vt:lpstr>Facts</vt:lpstr>
    </vt:vector>
  </TitlesOfParts>
  <Company>CSC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dparson4</dc:creator>
  <cp:lastModifiedBy>David</cp:lastModifiedBy>
  <cp:lastPrinted>2008-06-02T07:04:35Z</cp:lastPrinted>
  <dcterms:created xsi:type="dcterms:W3CDTF">2008-04-15T12:05:48Z</dcterms:created>
  <dcterms:modified xsi:type="dcterms:W3CDTF">2018-12-23T16:16:47Z</dcterms:modified>
</cp:coreProperties>
</file>